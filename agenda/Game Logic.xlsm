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externalReferences>
    <externalReference r:id="rId3"/>
    <externalReference r:id="rId4"/>
  </externalReferences>
  <definedNames>
    <definedName name="_xlnm._FilterDatabase" localSheetId="0" hidden="1">Tasks!$A$5:$F$10</definedName>
  </definedNames>
  <calcPr calcId="162913" iterate="1" iterateCount="1"/>
</workbook>
</file>

<file path=xl/calcChain.xml><?xml version="1.0" encoding="utf-8"?>
<calcChain xmlns="http://schemas.openxmlformats.org/spreadsheetml/2006/main">
  <c r="G3" i="1" l="1"/>
  <c r="B3" i="1"/>
  <c r="E43" i="1"/>
  <c r="E44" i="1"/>
  <c r="E45" i="1"/>
  <c r="E46" i="1"/>
  <c r="E22" i="1" l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7" i="1" l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</calcChain>
</file>

<file path=xl/sharedStrings.xml><?xml version="1.0" encoding="utf-8"?>
<sst xmlns="http://schemas.openxmlformats.org/spreadsheetml/2006/main" count="85" uniqueCount="47">
  <si>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</si>
  <si>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</si>
  <si>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</si>
  <si>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</si>
  <si>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</si>
  <si>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</si>
  <si>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</si>
  <si>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</si>
  <si>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</si>
  <si>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</si>
  <si>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</si>
  <si>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</si>
  <si>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</si>
  <si>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</si>
  <si>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</si>
  <si>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</si>
  <si>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</si>
  <si>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Logic</t>
  </si>
  <si>
    <t>Ryan</t>
  </si>
  <si>
    <t>Back-End</t>
  </si>
  <si>
    <t>Create deck and deal hands</t>
  </si>
  <si>
    <t>Draw a card (Back- End)</t>
  </si>
  <si>
    <t>Scuttle</t>
  </si>
  <si>
    <t>Jacks</t>
  </si>
  <si>
    <t>Glasses Eight</t>
  </si>
  <si>
    <t>Check win</t>
  </si>
  <si>
    <t>Play Points (Back-End)</t>
  </si>
  <si>
    <t>Draw Card (Back End)</t>
  </si>
  <si>
    <t>Make a test for check win</t>
  </si>
  <si>
    <t>17/9/2016</t>
  </si>
  <si>
    <t>Drag and Drop</t>
  </si>
  <si>
    <t>24/9/2016</t>
  </si>
  <si>
    <t xml:space="preserve">Tested checkWin for individual user (in user service) and for entire game (in gameService). </t>
  </si>
  <si>
    <t xml:space="preserve">Created helpers to check win for both individual user, and entire game. Both helpers use PROMISES, which they SHOULD NOT. </t>
  </si>
  <si>
    <t xml:space="preserve">Optmize checkWin helpers to be synchronous/NOT USE PROMISES </t>
  </si>
  <si>
    <t>Update Points() action and tests to reflect this change</t>
  </si>
  <si>
    <t>Runes Logic</t>
  </si>
  <si>
    <t>Play Targetted One Off</t>
  </si>
  <si>
    <t>Play Untargetted One Off</t>
  </si>
  <si>
    <t>Countering</t>
  </si>
  <si>
    <t>29/10/2016</t>
  </si>
  <si>
    <t>Add win-con getter attributes to gc</t>
  </si>
  <si>
    <t xml:space="preserve">
opKingCount, opPointTotal, yourKingCount, yourPointTotal</t>
  </si>
  <si>
    <t>Front End Resolution Differentiation</t>
  </si>
  <si>
    <t>front end event data includes oneOff played (card model) and pNum of player who played it.</t>
  </si>
  <si>
    <t>26/11/2016</t>
  </si>
  <si>
    <t>Sort Jacks in popGame()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</si>
</sst>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5" xfId="0" applyFont="1" applyFill="1" applyBorder="1" applyAlignment="1" applyProtection="1">
      <alignment wrapText="1"/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2" xfId="0" applyFont="1" applyBorder="1" applyAlignment="1" applyProtection="1">
      <alignment horizontal="center" vertical="center"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21" xfId="0" applyFont="1" applyBorder="1" applyAlignment="1" applyProtection="1">
      <alignment horizontal="center" vertical="center" wrapText="1"/>
      <protection hidden="1"/>
    </xf>
    <xf numFmtId="0" fontId="1" fillId="0" borderId="14" xfId="0" applyFont="1" applyFill="1" applyBorder="1" applyAlignment="1" applyProtection="1">
      <alignment horizontal="center" vertical="center" wrapText="1"/>
      <protection hidden="1"/>
    </xf>
    <xf numFmtId="0" fontId="2" fillId="0" borderId="20" xfId="1" applyFill="1" applyBorder="1" applyAlignment="1" applyProtection="1">
      <alignment horizontal="center" vertical="center" wrapText="1"/>
      <protection hidden="1"/>
    </xf>
    <xf numFmtId="14" fontId="0" fillId="3" borderId="28" xfId="0" applyNumberFormat="1" applyFill="1" applyBorder="1" applyAlignment="1" applyProtection="1">
      <alignment horizontal="center" wrapText="1"/>
      <protection hidden="1"/>
    </xf>
    <xf numFmtId="14" fontId="0" fillId="3" borderId="25" xfId="0" applyNumberFormat="1" applyFill="1" applyBorder="1" applyAlignment="1" applyProtection="1">
      <alignment horizontal="center" wrapText="1"/>
      <protection hidden="1"/>
    </xf>
    <xf numFmtId="14" fontId="0" fillId="3" borderId="29" xfId="0" applyNumberFormat="1" applyFill="1" applyBorder="1" applyAlignment="1" applyProtection="1">
      <alignment horizontal="center" wrapText="1"/>
      <protection hidden="1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5" xfId="0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6" xfId="0" applyFont="1" applyFill="1" applyBorder="1" applyAlignment="1" applyProtection="1">
      <alignment horizontal="center" wrapText="1"/>
      <protection locked="0"/>
    </xf>
    <xf numFmtId="164" fontId="0" fillId="3" borderId="30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2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14" fontId="0" fillId="2" borderId="25" xfId="0" applyNumberFormat="1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de/cuttleVersions/cuttleV2/Cuttle%20Agenda/Game%20Lobb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mTolkin/Desktop/Coding/cuttleV2/Cuttle%20Agenda/Game%20Pag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8"/>
  <sheetViews>
    <sheetView tabSelected="1" workbookViewId="0">
      <selection activeCell="B2" sqref="B2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27" t="s">
        <v>17</v>
      </c>
      <c r="C1" s="2" t="s">
        <v>1</v>
      </c>
      <c r="D1" s="31" t="s">
        <v>18</v>
      </c>
      <c r="E1" s="32"/>
      <c r="F1" s="33"/>
    </row>
    <row r="2" spans="1:8" x14ac:dyDescent="0.25">
      <c r="A2" s="4" t="s">
        <v>12</v>
      </c>
      <c r="B2" s="28" t="s">
        <v>11</v>
      </c>
      <c r="C2" s="5" t="s">
        <v>6</v>
      </c>
      <c r="D2" s="34"/>
      <c r="E2" s="35"/>
      <c r="F2" s="36"/>
    </row>
    <row r="3" spans="1:8" ht="15.75" thickBot="1" x14ac:dyDescent="0.3">
      <c r="A3" s="6" t="s">
        <v>13</v>
      </c>
      <c r="B3" s="7" t="str">
        <f>COUNTIF(C5:C47, "Complete") &amp; "/" &amp; COUNTIF(A5:A47, "*")</f>
        <v>17/17</v>
      </c>
      <c r="C3" s="8" t="s">
        <v>16</v>
      </c>
      <c r="D3" s="37" t="s">
        <v>19</v>
      </c>
      <c r="E3" s="38"/>
      <c r="F3" s="39"/>
      <c r="G3" s="3" t="str">
        <f>IF(AND(COUNTIF(A5:A47, "*") &gt; 0, COUNTIF(C5:C47, "Complete") = COUNTIF(A5:A47, "*")), "All tasks complete", "")</f>
        <v>All tasks complete</v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7" t="s">
        <v>27</v>
      </c>
      <c r="B5" s="18" t="s">
        <v>18</v>
      </c>
      <c r="C5" s="18" t="s">
        <v>11</v>
      </c>
      <c r="D5" s="29">
        <v>42438</v>
      </c>
      <c r="E5" s="14">
        <f t="shared" ref="E5:E47" ca="1" si="0">IF($C5="Complete", IF($E5="", TODAY(), $E5), "")</f>
        <v>42616</v>
      </c>
      <c r="F5" s="24"/>
    </row>
    <row r="6" spans="1:8" x14ac:dyDescent="0.25">
      <c r="A6" s="17" t="s">
        <v>22</v>
      </c>
      <c r="B6" s="18" t="s">
        <v>18</v>
      </c>
      <c r="C6" s="18" t="s">
        <v>11</v>
      </c>
      <c r="D6" s="19">
        <v>42592</v>
      </c>
      <c r="E6" s="15">
        <f t="shared" ca="1" si="0"/>
        <v>42665</v>
      </c>
      <c r="F6" s="25"/>
    </row>
    <row r="7" spans="1:8" x14ac:dyDescent="0.25">
      <c r="A7" s="17" t="s">
        <v>23</v>
      </c>
      <c r="B7" s="18" t="s">
        <v>18</v>
      </c>
      <c r="C7" s="18" t="s">
        <v>11</v>
      </c>
      <c r="D7" s="19">
        <v>42592</v>
      </c>
      <c r="E7" s="15">
        <f t="shared" ca="1" si="0"/>
        <v>42665</v>
      </c>
      <c r="F7" s="25"/>
    </row>
    <row r="8" spans="1:8" x14ac:dyDescent="0.25">
      <c r="A8" s="17" t="s">
        <v>20</v>
      </c>
      <c r="B8" s="18" t="s">
        <v>18</v>
      </c>
      <c r="C8" s="18" t="s">
        <v>11</v>
      </c>
      <c r="D8" s="19">
        <v>42609</v>
      </c>
      <c r="E8" s="15">
        <f t="shared" ca="1" si="0"/>
        <v>42616</v>
      </c>
      <c r="F8" s="25"/>
    </row>
    <row r="9" spans="1:8" x14ac:dyDescent="0.25">
      <c r="A9" s="17" t="s">
        <v>21</v>
      </c>
      <c r="B9" s="18" t="s">
        <v>18</v>
      </c>
      <c r="C9" s="18" t="s">
        <v>11</v>
      </c>
      <c r="D9" s="19">
        <v>42617</v>
      </c>
      <c r="E9" s="15">
        <f t="shared" ca="1" si="0"/>
        <v>42616</v>
      </c>
      <c r="F9" s="25"/>
    </row>
    <row r="10" spans="1:8" ht="60" x14ac:dyDescent="0.25">
      <c r="A10" s="17" t="s">
        <v>28</v>
      </c>
      <c r="B10" s="18" t="s">
        <v>18</v>
      </c>
      <c r="C10" s="18" t="s">
        <v>11</v>
      </c>
      <c r="D10" s="19" t="s">
        <v>29</v>
      </c>
      <c r="E10" s="15">
        <f t="shared" ca="1" si="0"/>
        <v>42635</v>
      </c>
      <c r="F10" s="25" t="s">
        <v>32</v>
      </c>
    </row>
    <row r="11" spans="1:8" x14ac:dyDescent="0.25">
      <c r="A11" s="17" t="s">
        <v>26</v>
      </c>
      <c r="B11" s="18" t="s">
        <v>18</v>
      </c>
      <c r="C11" s="18" t="s">
        <v>11</v>
      </c>
      <c r="D11" s="19" t="s">
        <v>31</v>
      </c>
      <c r="E11" s="15">
        <f t="shared" ca="1" si="0"/>
        <v>42635</v>
      </c>
      <c r="F11" s="25" t="s">
        <v>30</v>
      </c>
    </row>
    <row r="12" spans="1:8" ht="90" x14ac:dyDescent="0.25">
      <c r="A12" s="17" t="s">
        <v>25</v>
      </c>
      <c r="B12" s="18" t="s">
        <v>18</v>
      </c>
      <c r="C12" s="18" t="s">
        <v>11</v>
      </c>
      <c r="D12" s="19" t="s">
        <v>31</v>
      </c>
      <c r="E12" s="15">
        <f t="shared" ca="1" si="0"/>
        <v>42635</v>
      </c>
      <c r="F12" s="25" t="s">
        <v>33</v>
      </c>
    </row>
    <row r="13" spans="1:8" ht="45" x14ac:dyDescent="0.25">
      <c r="A13" s="17" t="s">
        <v>34</v>
      </c>
      <c r="B13" s="18" t="s">
        <v>18</v>
      </c>
      <c r="C13" s="18" t="s">
        <v>11</v>
      </c>
      <c r="D13" s="19">
        <v>42644</v>
      </c>
      <c r="E13" s="15">
        <f t="shared" ca="1" si="0"/>
        <v>42668</v>
      </c>
      <c r="F13" s="25" t="s">
        <v>35</v>
      </c>
    </row>
    <row r="14" spans="1:8" x14ac:dyDescent="0.25">
      <c r="A14" s="17" t="s">
        <v>36</v>
      </c>
      <c r="B14" s="18" t="s">
        <v>18</v>
      </c>
      <c r="C14" s="18" t="s">
        <v>11</v>
      </c>
      <c r="D14" s="19">
        <v>42644</v>
      </c>
      <c r="E14" s="15">
        <f t="shared" ca="1" si="0"/>
        <v>42639</v>
      </c>
      <c r="F14" s="25"/>
    </row>
    <row r="15" spans="1:8" x14ac:dyDescent="0.25">
      <c r="A15" s="17" t="s">
        <v>38</v>
      </c>
      <c r="B15" s="18" t="s">
        <v>18</v>
      </c>
      <c r="C15" s="18" t="s">
        <v>11</v>
      </c>
      <c r="D15" s="19" t="s">
        <v>40</v>
      </c>
      <c r="E15" s="15">
        <f t="shared" ca="1" si="0"/>
        <v>42668</v>
      </c>
      <c r="F15" s="25"/>
    </row>
    <row r="16" spans="1:8" x14ac:dyDescent="0.25">
      <c r="A16" s="17" t="s">
        <v>39</v>
      </c>
      <c r="B16" s="18" t="s">
        <v>18</v>
      </c>
      <c r="C16" s="18" t="s">
        <v>11</v>
      </c>
      <c r="D16" s="19" t="s">
        <v>40</v>
      </c>
      <c r="E16" s="15">
        <f t="shared" ca="1" si="0"/>
        <v>42668</v>
      </c>
      <c r="F16" s="25"/>
    </row>
    <row r="17" spans="1:6" x14ac:dyDescent="0.25">
      <c r="A17" s="17" t="s">
        <v>24</v>
      </c>
      <c r="B17" s="18" t="s">
        <v>18</v>
      </c>
      <c r="C17" s="18" t="s">
        <v>11</v>
      </c>
      <c r="D17" s="19"/>
      <c r="E17" s="15">
        <f t="shared" ca="1" si="0"/>
        <v>42665</v>
      </c>
      <c r="F17" s="25"/>
    </row>
    <row r="18" spans="1:6" ht="75" x14ac:dyDescent="0.25">
      <c r="A18" s="17" t="s">
        <v>41</v>
      </c>
      <c r="B18" s="18" t="s">
        <v>18</v>
      </c>
      <c r="C18" s="18" t="s">
        <v>11</v>
      </c>
      <c r="D18" s="19">
        <v>42679</v>
      </c>
      <c r="E18" s="15">
        <f t="shared" ca="1" si="0"/>
        <v>42676</v>
      </c>
      <c r="F18" s="25" t="s">
        <v>42</v>
      </c>
    </row>
    <row r="19" spans="1:6" ht="60" customHeight="1" x14ac:dyDescent="0.25">
      <c r="A19" s="17" t="s">
        <v>37</v>
      </c>
      <c r="B19" s="18" t="s">
        <v>18</v>
      </c>
      <c r="C19" s="18" t="s">
        <v>11</v>
      </c>
      <c r="D19" s="19" t="s">
        <v>45</v>
      </c>
      <c r="E19" s="15">
        <f t="shared" ca="1" si="0"/>
        <v>42694</v>
      </c>
      <c r="F19" s="25"/>
    </row>
    <row r="20" spans="1:6" ht="60" x14ac:dyDescent="0.25">
      <c r="A20" s="17" t="s">
        <v>43</v>
      </c>
      <c r="B20" s="18" t="s">
        <v>18</v>
      </c>
      <c r="C20" s="18" t="s">
        <v>11</v>
      </c>
      <c r="D20" s="19">
        <v>42686</v>
      </c>
      <c r="E20" s="15">
        <f t="shared" ca="1" si="0"/>
        <v>42681</v>
      </c>
      <c r="F20" s="25" t="s">
        <v>44</v>
      </c>
    </row>
    <row r="21" spans="1:6" x14ac:dyDescent="0.25">
      <c r="A21" s="17" t="s">
        <v>46</v>
      </c>
      <c r="B21" s="18" t="s">
        <v>18</v>
      </c>
      <c r="C21" s="18" t="s">
        <v>11</v>
      </c>
      <c r="D21" s="19" t="s">
        <v>45</v>
      </c>
      <c r="E21" s="15">
        <f t="shared" ca="1" si="0"/>
        <v>42694</v>
      </c>
      <c r="F21" s="25"/>
    </row>
    <row r="22" spans="1:6" x14ac:dyDescent="0.25">
      <c r="A22" s="17"/>
      <c r="B22" s="18"/>
      <c r="C22" s="18"/>
      <c r="D22" s="19"/>
      <c r="E22" s="15" t="str">
        <f t="shared" ca="1" si="0"/>
        <v/>
      </c>
      <c r="F22" s="25"/>
    </row>
    <row r="23" spans="1:6" x14ac:dyDescent="0.25">
      <c r="A23" s="17"/>
      <c r="B23" s="18"/>
      <c r="C23" s="18"/>
      <c r="D23" s="19"/>
      <c r="E23" s="15" t="str">
        <f t="shared" ca="1" si="0"/>
        <v/>
      </c>
      <c r="F23" s="25"/>
    </row>
    <row r="24" spans="1:6" x14ac:dyDescent="0.25">
      <c r="A24" s="17"/>
      <c r="B24" s="18"/>
      <c r="C24" s="18"/>
      <c r="D24" s="19"/>
      <c r="E24" s="15" t="str">
        <f t="shared" ca="1" si="0"/>
        <v/>
      </c>
      <c r="F24" s="25"/>
    </row>
    <row r="25" spans="1:6" x14ac:dyDescent="0.25">
      <c r="A25" s="17"/>
      <c r="B25" s="18"/>
      <c r="C25" s="18"/>
      <c r="D25" s="19"/>
      <c r="E25" s="15" t="str">
        <f t="shared" ca="1" si="0"/>
        <v/>
      </c>
      <c r="F25" s="25"/>
    </row>
    <row r="26" spans="1:6" x14ac:dyDescent="0.25">
      <c r="A26" s="17"/>
      <c r="B26" s="18"/>
      <c r="C26" s="18"/>
      <c r="D26" s="19"/>
      <c r="E26" s="15" t="str">
        <f t="shared" ca="1" si="0"/>
        <v/>
      </c>
      <c r="F26" s="25"/>
    </row>
    <row r="27" spans="1:6" x14ac:dyDescent="0.25">
      <c r="A27" s="17"/>
      <c r="B27" s="18"/>
      <c r="C27" s="18"/>
      <c r="D27" s="19"/>
      <c r="E27" s="15" t="str">
        <f t="shared" ca="1" si="0"/>
        <v/>
      </c>
      <c r="F27" s="25"/>
    </row>
    <row r="28" spans="1:6" x14ac:dyDescent="0.25">
      <c r="A28" s="17"/>
      <c r="B28" s="18"/>
      <c r="C28" s="18"/>
      <c r="D28" s="19"/>
      <c r="E28" s="15" t="str">
        <f t="shared" ca="1" si="0"/>
        <v/>
      </c>
      <c r="F28" s="25"/>
    </row>
    <row r="29" spans="1:6" x14ac:dyDescent="0.25">
      <c r="A29" s="17"/>
      <c r="B29" s="18"/>
      <c r="C29" s="18"/>
      <c r="D29" s="19"/>
      <c r="E29" s="15" t="str">
        <f t="shared" ca="1" si="0"/>
        <v/>
      </c>
      <c r="F29" s="25"/>
    </row>
    <row r="30" spans="1:6" x14ac:dyDescent="0.25">
      <c r="A30" s="17"/>
      <c r="B30" s="18"/>
      <c r="C30" s="18"/>
      <c r="D30" s="19"/>
      <c r="E30" s="15" t="str">
        <f t="shared" ca="1" si="0"/>
        <v/>
      </c>
      <c r="F30" s="25"/>
    </row>
    <row r="31" spans="1:6" x14ac:dyDescent="0.25">
      <c r="A31" s="17"/>
      <c r="B31" s="18"/>
      <c r="C31" s="18"/>
      <c r="D31" s="19"/>
      <c r="E31" s="15" t="str">
        <f t="shared" ca="1" si="0"/>
        <v/>
      </c>
      <c r="F31" s="25"/>
    </row>
    <row r="32" spans="1:6" x14ac:dyDescent="0.25">
      <c r="A32" s="17"/>
      <c r="B32" s="18"/>
      <c r="C32" s="18"/>
      <c r="D32" s="19"/>
      <c r="E32" s="15" t="str">
        <f t="shared" ca="1" si="0"/>
        <v/>
      </c>
      <c r="F32" s="25"/>
    </row>
    <row r="33" spans="1:6" x14ac:dyDescent="0.25">
      <c r="A33" s="17"/>
      <c r="B33" s="18"/>
      <c r="C33" s="18"/>
      <c r="D33" s="19"/>
      <c r="E33" s="15" t="str">
        <f t="shared" ca="1" si="0"/>
        <v/>
      </c>
      <c r="F33" s="25"/>
    </row>
    <row r="34" spans="1:6" x14ac:dyDescent="0.25">
      <c r="A34" s="17"/>
      <c r="B34" s="18"/>
      <c r="C34" s="18"/>
      <c r="D34" s="19"/>
      <c r="E34" s="15" t="str">
        <f t="shared" ca="1" si="0"/>
        <v/>
      </c>
      <c r="F34" s="25"/>
    </row>
    <row r="35" spans="1:6" x14ac:dyDescent="0.25">
      <c r="A35" s="17"/>
      <c r="B35" s="18"/>
      <c r="C35" s="18"/>
      <c r="D35" s="19"/>
      <c r="E35" s="15" t="str">
        <f t="shared" ca="1" si="0"/>
        <v/>
      </c>
      <c r="F35" s="25"/>
    </row>
    <row r="36" spans="1:6" x14ac:dyDescent="0.25">
      <c r="A36" s="17"/>
      <c r="B36" s="18"/>
      <c r="C36" s="18"/>
      <c r="D36" s="19"/>
      <c r="E36" s="15" t="str">
        <f t="shared" ca="1" si="0"/>
        <v/>
      </c>
      <c r="F36" s="25"/>
    </row>
    <row r="37" spans="1:6" x14ac:dyDescent="0.25">
      <c r="A37" s="17"/>
      <c r="B37" s="18"/>
      <c r="C37" s="18"/>
      <c r="D37" s="19"/>
      <c r="E37" s="15" t="str">
        <f t="shared" ca="1" si="0"/>
        <v/>
      </c>
      <c r="F37" s="25"/>
    </row>
    <row r="38" spans="1:6" x14ac:dyDescent="0.25">
      <c r="A38" s="17"/>
      <c r="B38" s="18"/>
      <c r="C38" s="18"/>
      <c r="D38" s="19"/>
      <c r="E38" s="15" t="str">
        <f t="shared" ca="1" si="0"/>
        <v/>
      </c>
      <c r="F38" s="25"/>
    </row>
    <row r="39" spans="1:6" x14ac:dyDescent="0.25">
      <c r="A39" s="17"/>
      <c r="B39" s="18"/>
      <c r="C39" s="18"/>
      <c r="D39" s="19"/>
      <c r="E39" s="15" t="str">
        <f t="shared" ca="1" si="0"/>
        <v/>
      </c>
      <c r="F39" s="25"/>
    </row>
    <row r="40" spans="1:6" x14ac:dyDescent="0.25">
      <c r="A40" s="17"/>
      <c r="B40" s="18"/>
      <c r="C40" s="18"/>
      <c r="D40" s="19"/>
      <c r="E40" s="15" t="str">
        <f t="shared" ca="1" si="0"/>
        <v/>
      </c>
      <c r="F40" s="25"/>
    </row>
    <row r="41" spans="1:6" x14ac:dyDescent="0.25">
      <c r="A41" s="17"/>
      <c r="B41" s="18"/>
      <c r="C41" s="18"/>
      <c r="D41" s="19"/>
      <c r="E41" s="15" t="str">
        <f t="shared" ca="1" si="0"/>
        <v/>
      </c>
      <c r="F41" s="25"/>
    </row>
    <row r="42" spans="1:6" x14ac:dyDescent="0.25">
      <c r="A42" s="17"/>
      <c r="B42" s="18"/>
      <c r="C42" s="18"/>
      <c r="D42" s="19"/>
      <c r="E42" s="15" t="str">
        <f t="shared" ca="1" si="0"/>
        <v/>
      </c>
      <c r="F42" s="25"/>
    </row>
    <row r="43" spans="1:6" x14ac:dyDescent="0.25">
      <c r="A43" s="20"/>
      <c r="B43" s="21"/>
      <c r="C43" s="21"/>
      <c r="D43" s="19"/>
      <c r="E43" s="15" t="str">
        <f t="shared" ca="1" si="0"/>
        <v/>
      </c>
      <c r="F43" s="25"/>
    </row>
    <row r="44" spans="1:6" x14ac:dyDescent="0.25">
      <c r="A44" s="20"/>
      <c r="B44" s="21"/>
      <c r="C44" s="21"/>
      <c r="D44" s="19"/>
      <c r="E44" s="15" t="str">
        <f t="shared" ca="1" si="0"/>
        <v/>
      </c>
      <c r="F44" s="25"/>
    </row>
    <row r="45" spans="1:6" x14ac:dyDescent="0.25">
      <c r="A45" s="20"/>
      <c r="B45" s="21"/>
      <c r="C45" s="21"/>
      <c r="D45" s="19"/>
      <c r="E45" s="15" t="str">
        <f t="shared" ca="1" si="0"/>
        <v/>
      </c>
      <c r="F45" s="25"/>
    </row>
    <row r="46" spans="1:6" x14ac:dyDescent="0.25">
      <c r="A46" s="20"/>
      <c r="B46" s="21"/>
      <c r="C46" s="21"/>
      <c r="D46" s="19"/>
      <c r="E46" s="15" t="str">
        <f t="shared" ca="1" si="0"/>
        <v/>
      </c>
      <c r="F46" s="25"/>
    </row>
    <row r="47" spans="1:6" ht="15.75" thickBot="1" x14ac:dyDescent="0.3">
      <c r="A47" s="22"/>
      <c r="B47" s="23"/>
      <c r="C47" s="23"/>
      <c r="D47" s="30"/>
      <c r="E47" s="16" t="str">
        <f t="shared" ca="1" si="0"/>
        <v/>
      </c>
      <c r="F47" s="26"/>
    </row>
    <row r="48" spans="1:6" ht="15.75" thickTop="1" x14ac:dyDescent="0.25"/>
  </sheetData>
  <sheetProtection sort="0" autoFilter="0"/>
  <sortState ref="A5:F47">
    <sortCondition ref="C5:C47"/>
    <sortCondition ref="D5:D47"/>
  </sortState>
  <mergeCells count="3">
    <mergeCell ref="D1:F1"/>
    <mergeCell ref="D2:F2"/>
    <mergeCell ref="D3:F3"/>
  </mergeCells>
  <conditionalFormatting sqref="A7:C47 E5:F17 E47:F47">
    <cfRule type="expression" dxfId="8" priority="10">
      <formula>$C5="Complete"</formula>
    </cfRule>
  </conditionalFormatting>
  <conditionalFormatting sqref="A3:B3">
    <cfRule type="expression" dxfId="7" priority="9">
      <formula>$G3="All tasks complete"</formula>
    </cfRule>
  </conditionalFormatting>
  <conditionalFormatting sqref="A5:C5">
    <cfRule type="expression" dxfId="6" priority="8">
      <formula>$C5="Complete"</formula>
    </cfRule>
  </conditionalFormatting>
  <conditionalFormatting sqref="A6:C6">
    <cfRule type="expression" dxfId="5" priority="7">
      <formula>$C6="Complete"</formula>
    </cfRule>
  </conditionalFormatting>
  <conditionalFormatting sqref="E18:F46">
    <cfRule type="expression" dxfId="4" priority="5">
      <formula>$C18="Complete"</formula>
    </cfRule>
  </conditionalFormatting>
  <conditionalFormatting sqref="D5:D47">
    <cfRule type="expression" dxfId="3" priority="4">
      <formula>$C5="Complete"</formula>
    </cfRule>
  </conditionalFormatting>
  <conditionalFormatting sqref="D5:D47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Dropdowns!$A$1:$A$4</xm:f>
          </x14:formula1>
          <xm:sqref>B2 C7:C47</xm:sqref>
        </x14:dataValidation>
        <x14:dataValidation type="list" allowBlank="1" showInputMessage="1" showErrorMessage="1">
          <x14:formula1>
            <xm:f>'E:\Code\cuttleVersions\cuttleV2\Cuttle Agenda\[Game Lobby.xlsm]Dropdowns'!#REF!</xm:f>
          </x14:formula1>
          <xm:sqref>C5</xm:sqref>
        </x14:dataValidation>
        <x14:dataValidation type="list" allowBlank="1" showInputMessage="1" showErrorMessage="1">
          <x14:formula1>
            <xm:f>'E:\Users\samTolkin\Desktop\Coding\cuttleV2\Cuttle Agenda\[Game Page.xlsm]Dropdowns'!#REF!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I26" sqref="I26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2016-11-26T14:16:33Z</dcterms:modified>
</cp:coreProperties>
</file>