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"/>
    </mc:Choice>
  </mc:AlternateContent>
  <bookViews>
    <workbookView xWindow="0" yWindow="0" windowWidth="21570" windowHeight="8400" tabRatio="603" activeTab="1"/>
  </bookViews>
  <sheets>
    <sheet name="Tasks" sheetId="8" r:id="rId1"/>
    <sheet name="Goals" sheetId="11" r:id="rId2"/>
    <sheet name="Completed Tasks" sheetId="13" r:id="rId3"/>
    <sheet name="Completed Goals" sheetId="9" r:id="rId4"/>
    <sheet name="Legend" sheetId="10" r:id="rId5"/>
  </sheets>
  <externalReferences>
    <externalReference r:id="rId6"/>
  </externalReferences>
  <definedNames>
    <definedName name="_xlnm._FilterDatabase" localSheetId="0" hidden="1">Tasks!$A$1:$P$19</definedName>
    <definedName name="_xlnm.Print_Area">'[1]**00'!$A$1:$K$48</definedName>
  </definedNames>
  <calcPr calcId="162913" iterate="1" iterateCount="1"/>
</workbook>
</file>

<file path=xl/calcChain.xml><?xml version="1.0" encoding="utf-8"?>
<calcChain xmlns="http://schemas.openxmlformats.org/spreadsheetml/2006/main">
  <c r="F20" i="8" l="1"/>
  <c r="F21" i="8"/>
  <c r="F18" i="8"/>
  <c r="F19" i="8"/>
  <c r="F16" i="8"/>
  <c r="F23" i="8"/>
  <c r="F8" i="8"/>
  <c r="F25" i="8"/>
  <c r="F26" i="8"/>
  <c r="F9" i="8"/>
  <c r="F17" i="8"/>
  <c r="F13" i="8"/>
  <c r="F14" i="8"/>
  <c r="F28" i="8"/>
  <c r="G23" i="8" l="1"/>
  <c r="G20" i="8"/>
  <c r="G21" i="8"/>
  <c r="G22" i="8"/>
  <c r="G18" i="8"/>
  <c r="G6" i="8"/>
  <c r="G5" i="8"/>
  <c r="G7" i="8"/>
  <c r="G19" i="8"/>
  <c r="G16" i="8"/>
  <c r="G24" i="8"/>
  <c r="G8" i="8"/>
  <c r="G25" i="8"/>
  <c r="G26" i="8"/>
  <c r="G27" i="8"/>
  <c r="G9" i="8"/>
  <c r="G17" i="8"/>
  <c r="G10" i="8"/>
  <c r="G11" i="8"/>
  <c r="G13" i="8"/>
  <c r="G14" i="8"/>
  <c r="G15" i="8"/>
  <c r="C3" i="13" l="1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G28" i="8" l="1"/>
  <c r="G2" i="8" l="1"/>
  <c r="G3" i="8"/>
  <c r="G4" i="8"/>
  <c r="F2" i="8" l="1"/>
  <c r="F4" i="8" l="1"/>
  <c r="F3" i="8"/>
  <c r="C2" i="9"/>
  <c r="C2" i="13"/>
  <c r="F22" i="8"/>
  <c r="F5" i="8"/>
  <c r="S5" i="8"/>
  <c r="F6" i="8"/>
  <c r="S6" i="8"/>
  <c r="F7" i="8"/>
  <c r="S7" i="8"/>
  <c r="S8" i="8"/>
  <c r="S9" i="8"/>
  <c r="F10" i="8"/>
  <c r="S10" i="8"/>
  <c r="F11" i="8"/>
  <c r="S11" i="8"/>
  <c r="F12" i="8"/>
  <c r="S13" i="8"/>
  <c r="S14" i="8"/>
  <c r="F15" i="8"/>
  <c r="S15" i="8"/>
  <c r="F24" i="8"/>
  <c r="F27" i="8"/>
</calcChain>
</file>

<file path=xl/sharedStrings.xml><?xml version="1.0" encoding="utf-8"?>
<sst xmlns="http://schemas.openxmlformats.org/spreadsheetml/2006/main" count="223" uniqueCount="103">
  <si>
    <t>Status</t>
  </si>
  <si>
    <t>Date added</t>
  </si>
  <si>
    <t>Status / update</t>
  </si>
  <si>
    <t>Actual close date</t>
  </si>
  <si>
    <t xml:space="preserve"> </t>
  </si>
  <si>
    <t>Result</t>
  </si>
  <si>
    <t>Finished action points</t>
  </si>
  <si>
    <t>To-do action points</t>
  </si>
  <si>
    <t>Target close date</t>
  </si>
  <si>
    <t>Primary owner</t>
  </si>
  <si>
    <t>Secundary owner</t>
  </si>
  <si>
    <t>Sabine</t>
  </si>
  <si>
    <t>Progress %</t>
  </si>
  <si>
    <t>4. Ongoing</t>
  </si>
  <si>
    <t>5. Behind planning</t>
  </si>
  <si>
    <t>6. Completed</t>
  </si>
  <si>
    <t>1. On hold</t>
  </si>
  <si>
    <t>2. To start</t>
  </si>
  <si>
    <t>Additional/background info.</t>
  </si>
  <si>
    <t>3. Priority</t>
  </si>
  <si>
    <t>Optimization of the TrainingsMatrix</t>
  </si>
  <si>
    <t>EBlinC systeem van Multisafe toegankelijk maken voor het gehele personeel</t>
  </si>
  <si>
    <t xml:space="preserve">EMCM/LBM Europe </t>
  </si>
  <si>
    <t>EMCM</t>
  </si>
  <si>
    <t>sabine</t>
  </si>
  <si>
    <t>Set up of educational program for EMCM</t>
  </si>
  <si>
    <t>implementation is still to proceed. Waiting for Juli</t>
  </si>
  <si>
    <t>1 juli alle wijzigingen doorvooeren en beginenn met trainen. difference of opinio between Martijn en Tim is currently blocking progress</t>
  </si>
  <si>
    <t>alles uitgewerkt en gepresenteerd aan middenkader</t>
  </si>
  <si>
    <t>Bottleneck</t>
  </si>
  <si>
    <t>Priority</t>
  </si>
  <si>
    <t>DropDowns</t>
  </si>
  <si>
    <t>Very Low</t>
  </si>
  <si>
    <t>Low</t>
  </si>
  <si>
    <t>Medium</t>
  </si>
  <si>
    <t>High</t>
  </si>
  <si>
    <t>Critical</t>
  </si>
  <si>
    <t>Next action due:</t>
  </si>
  <si>
    <t>Sign Up Page</t>
  </si>
  <si>
    <t>Log In Page</t>
  </si>
  <si>
    <t>Games Page</t>
  </si>
  <si>
    <t>Sam</t>
  </si>
  <si>
    <t>Socket/View Joining Game</t>
  </si>
  <si>
    <t>Ryan</t>
  </si>
  <si>
    <t>Set up Angular controller with variable to control gameView vs transitionView</t>
  </si>
  <si>
    <t>Front End</t>
  </si>
  <si>
    <t>Goal</t>
  </si>
  <si>
    <t>Route to gameView</t>
  </si>
  <si>
    <t>Tasks</t>
  </si>
  <si>
    <t>Go To Game View</t>
  </si>
  <si>
    <t>Researching Mocha</t>
  </si>
  <si>
    <t>Excel Data Copying</t>
  </si>
  <si>
    <t>Transition Page (Full Stack)</t>
  </si>
  <si>
    <t>Game Page (Full Stack)</t>
  </si>
  <si>
    <t>Drag and Drop (Front End)</t>
  </si>
  <si>
    <t>Request and Response Handlers (Front End)</t>
  </si>
  <si>
    <t>Socket Event Handlers (Front End)</t>
  </si>
  <si>
    <t>Victory (Full Stack)</t>
  </si>
  <si>
    <t>Front End Cleanup (Front End)</t>
  </si>
  <si>
    <t>Points (Back End)</t>
  </si>
  <si>
    <t>Runes (Back End)</t>
  </si>
  <si>
    <t>Scuttle (Back End)</t>
  </si>
  <si>
    <t>One Offs (Back End)</t>
  </si>
  <si>
    <t>0/3</t>
  </si>
  <si>
    <t>0/0</t>
  </si>
  <si>
    <t>Agenda Optimizations</t>
  </si>
  <si>
    <t>Final Status</t>
  </si>
  <si>
    <t>Date Completed</t>
  </si>
  <si>
    <t>Task</t>
  </si>
  <si>
    <t>For Goal:</t>
  </si>
  <si>
    <t>By:</t>
  </si>
  <si>
    <t>Update goals upon save in this file</t>
  </si>
  <si>
    <t>20/08/16</t>
  </si>
  <si>
    <t>Redo formatting</t>
  </si>
  <si>
    <t>27/08/16</t>
  </si>
  <si>
    <t>Base html for game lobby</t>
  </si>
  <si>
    <t>Create game and add player</t>
  </si>
  <si>
    <t>Rule text in lobby</t>
  </si>
  <si>
    <t>Deal Deck</t>
  </si>
  <si>
    <t>Dealing Code in ready() action</t>
  </si>
  <si>
    <t>Promise API</t>
  </si>
  <si>
    <t>Migrate hooks to services</t>
  </si>
  <si>
    <t>Create service for saveGame()</t>
  </si>
  <si>
    <t>Create service for saveUser()</t>
  </si>
  <si>
    <t>Create service for findCards()</t>
  </si>
  <si>
    <t>Create service for saveCards()</t>
  </si>
  <si>
    <t>Implement new promise use pattern in ready() action</t>
  </si>
  <si>
    <t>3/5</t>
  </si>
  <si>
    <t>0/2</t>
  </si>
  <si>
    <t>27/08/2016</t>
  </si>
  <si>
    <t>Set up ready section (Track who is ready in lobby)</t>
  </si>
  <si>
    <t>Ready() action now has proper use pattern for promises
Still needs code for dealing when all ready</t>
  </si>
  <si>
    <t>Pop Game Method in gameService</t>
  </si>
  <si>
    <t>2708/2016</t>
  </si>
  <si>
    <t>Migrate completed goals</t>
  </si>
  <si>
    <t>Create service for createCard()</t>
  </si>
  <si>
    <t>Can now create card and place it directly in a game's deck with cardService</t>
  </si>
  <si>
    <t>Test this helper</t>
  </si>
  <si>
    <t>Created helper</t>
  </si>
  <si>
    <t>2/4</t>
  </si>
  <si>
    <t>0/1</t>
  </si>
  <si>
    <t>4/8</t>
  </si>
  <si>
    <t>Put cards in each player's hand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</si>
</sst>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_ ;_ * \-#,##0_ ;_ * &quot;-&quot;_ ;_ @_ "/>
    <numFmt numFmtId="165" formatCode="_ &quot;€&quot;\ * #,##0.00_ ;_ &quot;€&quot;\ * \-#,##0.00_ ;_ &quot;€&quot;\ * &quot;-&quot;??_ ;_ @_ "/>
    <numFmt numFmtId="166" formatCode="_ * #,##0.00_ ;_ * \-#,##0.00_ ;_ * &quot;-&quot;??_ ;_ @_ "/>
    <numFmt numFmtId="167" formatCode="&quot;$&quot;_(#,##0.00_);&quot;$&quot;\(#,##0.00\);&quot;$&quot;_(0.00_);@_)"/>
    <numFmt numFmtId="168" formatCode="#,##0.00_);\(#,##0.00\);0.00_);@_)"/>
    <numFmt numFmtId="169" formatCode="[$€-2]\ #,##0_);[Red]\([$€-2]\ #,##0\)"/>
    <numFmt numFmtId="170" formatCode="#,##0;\-#,##0;&quot;-&quot;"/>
    <numFmt numFmtId="171" formatCode="#,##0.00;\-#,##0.00;&quot;-&quot;"/>
    <numFmt numFmtId="172" formatCode="#,##0%;\-#,##0%;&quot;- &quot;"/>
    <numFmt numFmtId="173" formatCode="#,##0.0%;\-#,##0.0%;&quot;- &quot;"/>
    <numFmt numFmtId="174" formatCode="#,##0.00%;\-#,##0.00%;&quot;- &quot;"/>
    <numFmt numFmtId="175" formatCode="#,##0.0;\-#,##0.0;&quot;-&quot;"/>
    <numFmt numFmtId="176" formatCode="#,##0.000_);[Red]\(#,##0.000\)"/>
    <numFmt numFmtId="177" formatCode="0.0%"/>
    <numFmt numFmtId="178" formatCode="_-&quot;€&quot;* #,##0.00_-;\-&quot;€&quot;* #,##0.00_-;_-&quot;€&quot;* &quot;-&quot;??_-;_-@_-"/>
    <numFmt numFmtId="179" formatCode="#,##0;\(#,##0\)"/>
    <numFmt numFmtId="180" formatCode="_-* #,##0.00\ &quot;€&quot;_-;\-* #,##0.00\ &quot;€&quot;_-;_-* &quot;-&quot;??\ &quot;€&quot;_-;_-@_-"/>
    <numFmt numFmtId="181" formatCode="0.00%_);[Red]\(0.00%\)"/>
    <numFmt numFmtId="182" formatCode=";;;"/>
    <numFmt numFmtId="183" formatCode="_-* #,##0.00\ _F_-;\-* #,##0.00\ _F_-;_-* &quot;-&quot;??\ _F_-;_-@_-"/>
    <numFmt numFmtId="184" formatCode="#,##0.0,,_);[Red]\(#,##0.0,,\)"/>
    <numFmt numFmtId="185" formatCode="\$\ #,##0.0,,_);[Red]\$\(#,##0.0,,\)"/>
    <numFmt numFmtId="186" formatCode="0.0;[Red]0.0"/>
    <numFmt numFmtId="187" formatCode="_(* #,##0.00000_);_(* \(#,##0.00000\);_(* &quot;-&quot;??_);_(@_)"/>
    <numFmt numFmtId="188" formatCode="_(* #,##0_);_(* \(#,##0\);_(* &quot;-&quot;??_);_(@_)"/>
    <numFmt numFmtId="189" formatCode="0%_);\(0%\)"/>
    <numFmt numFmtId="190" formatCode="0%;\(0%\)"/>
    <numFmt numFmtId="191" formatCode="\ \ @"/>
    <numFmt numFmtId="192" formatCode="\ \ \ \ @"/>
    <numFmt numFmtId="193" formatCode="#,##0.0,_);[Red]\(#,##0.0,\)"/>
    <numFmt numFmtId="194" formatCode="&quot;ü&quot;"/>
    <numFmt numFmtId="195" formatCode="0.0%;\(0.0%\)"/>
    <numFmt numFmtId="196" formatCode="&quot;$&quot;#,##0.000_);\(&quot;$&quot;#,##0.000\)"/>
    <numFmt numFmtId="197" formatCode="&quot;\&quot;#,##0;[Red]&quot;\&quot;\-#,##0"/>
    <numFmt numFmtId="198" formatCode="_-&quot;$&quot;* #,##0_-;\-&quot;$&quot;* #,##0_-;_-&quot;$&quot;* &quot;-&quot;_-;_-@_-"/>
    <numFmt numFmtId="199" formatCode="_-&quot;$&quot;* #,##0.00_-;\-&quot;$&quot;* #,##0.00_-;_-&quot;$&quot;* &quot;-&quot;??_-;_-@_-"/>
    <numFmt numFmtId="200" formatCode="[$-409]d\-mmm\-yy;@"/>
  </numFmts>
  <fonts count="8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u/>
      <sz val="10"/>
      <color indexed="12"/>
      <name val="Arial"/>
      <family val="2"/>
    </font>
    <font>
      <sz val="10"/>
      <name val="Helv"/>
      <family val="2"/>
    </font>
    <font>
      <sz val="10"/>
      <color indexed="8"/>
      <name val="MS Sans Serif"/>
      <family val="2"/>
    </font>
    <font>
      <sz val="10"/>
      <name val="Helv"/>
    </font>
    <font>
      <sz val="12"/>
      <name val="Times New Roman"/>
      <family val="1"/>
    </font>
    <font>
      <sz val="10"/>
      <name val="Helv"/>
      <charset val="204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sz val="10"/>
      <name val="MS Sans Serif"/>
      <family val="2"/>
    </font>
    <font>
      <sz val="11"/>
      <color indexed="9"/>
      <name val="Calibri"/>
      <family val="2"/>
    </font>
    <font>
      <sz val="8"/>
      <color indexed="10"/>
      <name val="Arial"/>
      <family val="2"/>
    </font>
    <font>
      <sz val="8"/>
      <name val="Times New Roman"/>
      <family val="1"/>
    </font>
    <font>
      <sz val="8"/>
      <color indexed="17"/>
      <name val="Arial"/>
      <family val="2"/>
    </font>
    <font>
      <b/>
      <sz val="18"/>
      <name val="Times New Roman"/>
      <family val="1"/>
    </font>
    <font>
      <sz val="8"/>
      <name val="Arial"/>
      <family val="2"/>
    </font>
    <font>
      <b/>
      <sz val="12"/>
      <name val="Times New Roman"/>
      <family val="1"/>
    </font>
    <font>
      <b/>
      <sz val="8"/>
      <color indexed="12"/>
      <name val="Arial"/>
      <family val="2"/>
    </font>
    <font>
      <sz val="10"/>
      <name val="MS Serif"/>
      <family val="1"/>
    </font>
    <font>
      <sz val="12"/>
      <name val="Osaka"/>
      <family val="3"/>
    </font>
    <font>
      <b/>
      <u/>
      <sz val="8"/>
      <name val="Arial"/>
      <family val="2"/>
    </font>
    <font>
      <i/>
      <sz val="8"/>
      <color indexed="17"/>
      <name val="Arial"/>
      <family val="2"/>
    </font>
    <font>
      <b/>
      <sz val="10"/>
      <color indexed="8"/>
      <name val="Helv"/>
    </font>
    <font>
      <sz val="10"/>
      <color indexed="12"/>
      <name val="Arial"/>
      <family val="2"/>
    </font>
    <font>
      <sz val="10"/>
      <color indexed="16"/>
      <name val="MS Serif"/>
      <family val="1"/>
    </font>
    <font>
      <b/>
      <sz val="10"/>
      <name val="Arial"/>
      <family val="2"/>
    </font>
    <font>
      <b/>
      <sz val="10"/>
      <name val="Arial"/>
      <family val="2"/>
      <charset val="238"/>
    </font>
    <font>
      <b/>
      <sz val="12"/>
      <name val="Arial"/>
      <family val="2"/>
    </font>
    <font>
      <b/>
      <sz val="8"/>
      <name val="MS Sans Serif"/>
      <family val="2"/>
    </font>
    <font>
      <sz val="10"/>
      <color indexed="14"/>
      <name val="Arial"/>
      <family val="2"/>
    </font>
    <font>
      <sz val="8"/>
      <color indexed="18"/>
      <name val="Arial"/>
      <family val="2"/>
    </font>
    <font>
      <sz val="8"/>
      <color indexed="20"/>
      <name val="Arial"/>
      <family val="2"/>
    </font>
    <font>
      <b/>
      <sz val="14"/>
      <name val="Times New Roman"/>
      <family val="1"/>
    </font>
    <font>
      <sz val="10"/>
      <name val="Times New Roman"/>
      <family val="1"/>
    </font>
    <font>
      <sz val="8"/>
      <color indexed="12"/>
      <name val="Arial"/>
      <family val="2"/>
    </font>
    <font>
      <b/>
      <sz val="12"/>
      <color indexed="10"/>
      <name val="Arial"/>
      <family val="2"/>
    </font>
    <font>
      <sz val="7"/>
      <name val="Small Fonts"/>
      <family val="2"/>
    </font>
    <font>
      <sz val="11"/>
      <color theme="1"/>
      <name val="Calibri"/>
      <family val="2"/>
      <charset val="238"/>
      <scheme val="minor"/>
    </font>
    <font>
      <sz val="10"/>
      <name val="Courier"/>
      <family val="3"/>
    </font>
    <font>
      <sz val="12"/>
      <color indexed="8"/>
      <name val="Times New Roman"/>
      <family val="1"/>
    </font>
    <font>
      <sz val="8"/>
      <color indexed="16"/>
      <name val="Arial"/>
      <family val="2"/>
    </font>
    <font>
      <sz val="10"/>
      <color indexed="10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name val="Wingdings"/>
      <charset val="2"/>
    </font>
    <font>
      <sz val="8"/>
      <name val="Helv"/>
    </font>
    <font>
      <sz val="10"/>
      <color indexed="8"/>
      <name val="Times New Roman"/>
      <family val="1"/>
    </font>
    <font>
      <b/>
      <sz val="18"/>
      <color indexed="8"/>
      <name val="Cambria"/>
      <family val="1"/>
    </font>
    <font>
      <sz val="8"/>
      <name val="MS Sans Serif"/>
      <family val="2"/>
    </font>
    <font>
      <i/>
      <sz val="8"/>
      <name val="Times New Roman"/>
      <family val="1"/>
    </font>
    <font>
      <sz val="12"/>
      <name val="SWISS"/>
    </font>
    <font>
      <sz val="9"/>
      <name val="Arial"/>
      <family val="2"/>
    </font>
    <font>
      <b/>
      <sz val="8"/>
      <name val="Arial"/>
      <family val="2"/>
    </font>
    <font>
      <sz val="11"/>
      <color indexed="10"/>
      <name val="Wingdings"/>
      <charset val="2"/>
    </font>
    <font>
      <b/>
      <sz val="10"/>
      <color indexed="10"/>
      <name val="Arial"/>
      <family val="2"/>
    </font>
    <font>
      <sz val="14"/>
      <name val="뼻뮝"/>
      <family val="3"/>
    </font>
    <font>
      <sz val="12"/>
      <name val="뼻뮝"/>
      <family val="1"/>
    </font>
    <font>
      <sz val="12"/>
      <name val="바탕체"/>
      <family val="1"/>
    </font>
    <font>
      <sz val="10"/>
      <name val="굴림체"/>
      <family val="3"/>
    </font>
    <font>
      <sz val="12"/>
      <name val="宋体"/>
      <family val="1"/>
      <charset val="136"/>
    </font>
    <font>
      <sz val="11"/>
      <name val="ＭＳ Ｐゴシック"/>
      <family val="3"/>
      <charset val="128"/>
    </font>
    <font>
      <u/>
      <sz val="10"/>
      <color indexed="36"/>
      <name val="Arial"/>
      <family val="2"/>
    </font>
    <font>
      <sz val="10"/>
      <name val="Arial"/>
      <family val="2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8"/>
      <color indexed="9"/>
      <name val="Arial"/>
      <family val="2"/>
    </font>
    <font>
      <sz val="11"/>
      <color theme="1"/>
      <name val="Arial"/>
      <family val="2"/>
    </font>
    <font>
      <sz val="18"/>
      <name val="Arial"/>
      <family val="2"/>
    </font>
    <font>
      <sz val="18"/>
      <color theme="1"/>
      <name val="Arial"/>
      <family val="2"/>
    </font>
    <font>
      <sz val="9"/>
      <color theme="1"/>
      <name val="Arial"/>
      <family val="2"/>
    </font>
    <font>
      <b/>
      <sz val="8"/>
      <color indexed="9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sz val="14"/>
      <name val="Arial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31"/>
        <bgColor indexed="31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4"/>
        <bgColor indexed="44"/>
      </patternFill>
    </fill>
    <fill>
      <patternFill patternType="solid">
        <fgColor indexed="47"/>
        <bgColor indexed="47"/>
      </patternFill>
    </fill>
    <fill>
      <patternFill patternType="darkGray">
        <fgColor indexed="9"/>
        <bgColor indexed="13"/>
      </patternFill>
    </fill>
    <fill>
      <patternFill patternType="lightUp">
        <fgColor indexed="9"/>
        <bgColor indexed="27"/>
      </patternFill>
    </fill>
    <fill>
      <patternFill patternType="lightUp">
        <fgColor indexed="9"/>
        <bgColor indexed="26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4"/>
      </patternFill>
    </fill>
    <fill>
      <patternFill patternType="lightGray">
        <fgColor indexed="13"/>
        <bgColor indexed="9"/>
      </patternFill>
    </fill>
    <fill>
      <patternFill patternType="darkVertical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466">
    <xf numFmtId="0" fontId="0" fillId="0" borderId="0"/>
    <xf numFmtId="0" fontId="2" fillId="0" borderId="0"/>
    <xf numFmtId="9" fontId="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167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1" fillId="0" borderId="2" applyNumberFormat="0" applyFill="0" applyProtection="0">
      <alignment horizont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9" fontId="1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13" fillId="8" borderId="0" applyNumberFormat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13" fillId="6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1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3" fillId="10" borderId="0" applyNumberFormat="0" applyBorder="0" applyAlignment="0" applyProtection="0"/>
    <xf numFmtId="0" fontId="3" fillId="7" borderId="0" applyNumberFormat="0" applyBorder="0" applyAlignment="0" applyProtection="0"/>
    <xf numFmtId="0" fontId="3" fillId="11" borderId="0" applyNumberFormat="0" applyBorder="0" applyAlignment="0" applyProtection="0"/>
    <xf numFmtId="0" fontId="13" fillId="11" borderId="0" applyNumberFormat="0" applyBorder="0" applyAlignment="0" applyProtection="0"/>
    <xf numFmtId="38" fontId="14" fillId="0" borderId="0" applyNumberFormat="0" applyFill="0" applyBorder="0" applyAlignment="0" applyProtection="0"/>
    <xf numFmtId="0" fontId="15" fillId="0" borderId="0">
      <alignment horizontal="center" wrapText="1"/>
      <protection locked="0"/>
    </xf>
    <xf numFmtId="38" fontId="16" fillId="0" borderId="0" applyNumberFormat="0" applyFill="0" applyBorder="0" applyAlignment="0" applyProtection="0"/>
    <xf numFmtId="38" fontId="17" fillId="0" borderId="0" applyNumberFormat="0" applyFill="0" applyBorder="0" applyAlignment="0" applyProtection="0"/>
    <xf numFmtId="38" fontId="18" fillId="0" borderId="0" applyNumberFormat="0" applyFill="0" applyBorder="0"/>
    <xf numFmtId="0" fontId="19" fillId="0" borderId="3" applyNumberFormat="0" applyFill="0" applyAlignment="0" applyProtection="0"/>
    <xf numFmtId="38" fontId="20" fillId="0" borderId="1" applyFill="0" applyProtection="0">
      <alignment horizontal="center"/>
    </xf>
    <xf numFmtId="0" fontId="8" fillId="0" borderId="0" applyFont="0" applyFill="0" applyBorder="0" applyAlignment="0" applyProtection="0"/>
    <xf numFmtId="170" fontId="10" fillId="0" borderId="0" applyFill="0" applyBorder="0" applyAlignment="0"/>
    <xf numFmtId="171" fontId="10" fillId="0" borderId="0" applyFill="0" applyBorder="0" applyAlignment="0"/>
    <xf numFmtId="172" fontId="10" fillId="0" borderId="0" applyFill="0" applyBorder="0" applyAlignment="0"/>
    <xf numFmtId="173" fontId="10" fillId="0" borderId="0" applyFill="0" applyBorder="0" applyAlignment="0"/>
    <xf numFmtId="174" fontId="10" fillId="0" borderId="0" applyFill="0" applyBorder="0" applyAlignment="0"/>
    <xf numFmtId="170" fontId="10" fillId="0" borderId="0" applyFill="0" applyBorder="0" applyAlignment="0"/>
    <xf numFmtId="175" fontId="10" fillId="0" borderId="0" applyFill="0" applyBorder="0" applyAlignment="0"/>
    <xf numFmtId="171" fontId="10" fillId="0" borderId="0" applyFill="0" applyBorder="0" applyAlignment="0"/>
    <xf numFmtId="176" fontId="18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6" fontId="1" fillId="0" borderId="0" applyFont="0" applyFill="0" applyBorder="0" applyAlignment="0" applyProtection="0"/>
    <xf numFmtId="3" fontId="2" fillId="0" borderId="0" applyFont="0" applyFill="0" applyBorder="0" applyAlignment="0" applyProtection="0"/>
    <xf numFmtId="0" fontId="21" fillId="0" borderId="0" applyNumberFormat="0" applyAlignment="0">
      <alignment horizontal="left"/>
    </xf>
    <xf numFmtId="171" fontId="2" fillId="0" borderId="0" applyFont="0" applyFill="0" applyBorder="0" applyAlignment="0" applyProtection="0"/>
    <xf numFmtId="165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78" fontId="2" fillId="0" borderId="0" applyFont="0" applyFill="0" applyBorder="0" applyAlignment="0" applyProtection="0"/>
    <xf numFmtId="179" fontId="22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 applyFont="0" applyFill="0" applyBorder="0" applyAlignment="0" applyProtection="0"/>
    <xf numFmtId="14" fontId="10" fillId="0" borderId="0" applyFill="0" applyBorder="0" applyAlignment="0"/>
    <xf numFmtId="17" fontId="23" fillId="0" borderId="0" applyFill="0" applyBorder="0" applyAlignment="0" applyProtection="0"/>
    <xf numFmtId="38" fontId="12" fillId="0" borderId="4">
      <alignment vertical="center"/>
    </xf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4" fillId="12" borderId="0" applyNumberFormat="0" applyFont="0" applyBorder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5" fillId="14" borderId="0" applyNumberFormat="0" applyBorder="0" applyAlignment="0" applyProtection="0"/>
    <xf numFmtId="170" fontId="26" fillId="0" borderId="0" applyFill="0" applyBorder="0" applyAlignment="0"/>
    <xf numFmtId="171" fontId="26" fillId="0" borderId="0" applyFill="0" applyBorder="0" applyAlignment="0"/>
    <xf numFmtId="170" fontId="26" fillId="0" borderId="0" applyFill="0" applyBorder="0" applyAlignment="0"/>
    <xf numFmtId="175" fontId="26" fillId="0" borderId="0" applyFill="0" applyBorder="0" applyAlignment="0"/>
    <xf numFmtId="171" fontId="26" fillId="0" borderId="0" applyFill="0" applyBorder="0" applyAlignment="0"/>
    <xf numFmtId="0" fontId="27" fillId="0" borderId="0" applyNumberFormat="0" applyAlignment="0">
      <alignment horizontal="left"/>
    </xf>
    <xf numFmtId="180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69" fontId="29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69" fontId="29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81" fontId="18" fillId="15" borderId="0" applyNumberFormat="0" applyFont="0" applyBorder="0" applyAlignment="0" applyProtection="0"/>
    <xf numFmtId="38" fontId="18" fillId="16" borderId="0" applyNumberFormat="0" applyBorder="0" applyAlignment="0" applyProtection="0"/>
    <xf numFmtId="0" fontId="30" fillId="0" borderId="5" applyNumberFormat="0" applyAlignment="0" applyProtection="0">
      <alignment horizontal="left" vertical="center"/>
    </xf>
    <xf numFmtId="0" fontId="30" fillId="0" borderId="6">
      <alignment horizontal="left" vertical="center"/>
    </xf>
    <xf numFmtId="14" fontId="28" fillId="17" borderId="7">
      <alignment horizontal="center" vertical="center" wrapText="1"/>
    </xf>
    <xf numFmtId="38" fontId="28" fillId="0" borderId="0" applyNumberFormat="0" applyFill="0" applyBorder="0" applyAlignment="0" applyProtection="0"/>
    <xf numFmtId="0" fontId="31" fillId="0" borderId="0">
      <alignment horizontal="center"/>
    </xf>
    <xf numFmtId="182" fontId="18" fillId="0" borderId="0" applyFont="0" applyFill="0" applyBorder="0" applyAlignment="0" applyProtection="0"/>
    <xf numFmtId="169" fontId="4" fillId="0" borderId="0" applyNumberFormat="0" applyFill="0" applyBorder="0" applyAlignment="0" applyProtection="0">
      <alignment vertical="top"/>
      <protection locked="0"/>
    </xf>
    <xf numFmtId="10" fontId="18" fillId="18" borderId="1" applyNumberFormat="0" applyBorder="0" applyAlignment="0" applyProtection="0"/>
    <xf numFmtId="0" fontId="26" fillId="0" borderId="0" applyNumberFormat="0" applyFill="0" applyBorder="0" applyAlignment="0">
      <protection locked="0"/>
    </xf>
    <xf numFmtId="38" fontId="18" fillId="19" borderId="0" applyNumberFormat="0" applyFont="0" applyBorder="0" applyAlignment="0" applyProtection="0"/>
    <xf numFmtId="170" fontId="32" fillId="0" borderId="0" applyFill="0" applyBorder="0" applyAlignment="0"/>
    <xf numFmtId="171" fontId="32" fillId="0" borderId="0" applyFill="0" applyBorder="0" applyAlignment="0"/>
    <xf numFmtId="170" fontId="32" fillId="0" borderId="0" applyFill="0" applyBorder="0" applyAlignment="0"/>
    <xf numFmtId="175" fontId="32" fillId="0" borderId="0" applyFill="0" applyBorder="0" applyAlignment="0"/>
    <xf numFmtId="171" fontId="32" fillId="0" borderId="0" applyFill="0" applyBorder="0" applyAlignment="0"/>
    <xf numFmtId="40" fontId="33" fillId="12" borderId="0" applyNumberFormat="0" applyFill="0" applyBorder="0" applyAlignment="0" applyProtection="0"/>
    <xf numFmtId="0" fontId="34" fillId="12" borderId="0" applyNumberFormat="0" applyFill="0" applyBorder="0" applyAlignment="0" applyProtection="0"/>
    <xf numFmtId="40" fontId="33" fillId="0" borderId="0"/>
    <xf numFmtId="38" fontId="35" fillId="0" borderId="0" applyNumberFormat="0" applyFill="0" applyBorder="0" applyAlignment="0" applyProtection="0"/>
    <xf numFmtId="177" fontId="36" fillId="0" borderId="0" applyFont="0" applyFill="0" applyBorder="0" applyAlignment="0" applyProtection="0"/>
    <xf numFmtId="183" fontId="2" fillId="0" borderId="0" applyFont="0" applyFill="0" applyBorder="0" applyAlignment="0" applyProtection="0"/>
    <xf numFmtId="184" fontId="18" fillId="0" borderId="0" applyFont="0" applyFill="0" applyBorder="0" applyAlignment="0" applyProtection="0"/>
    <xf numFmtId="185" fontId="37" fillId="0" borderId="8" applyFont="0" applyFill="0" applyBorder="0" applyAlignment="0"/>
    <xf numFmtId="186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38" fontId="38" fillId="0" borderId="0" applyNumberFormat="0" applyFill="0" applyBorder="0" applyAlignment="0" applyProtection="0">
      <alignment horizontal="right"/>
    </xf>
    <xf numFmtId="3" fontId="2" fillId="0" borderId="0"/>
    <xf numFmtId="37" fontId="39" fillId="0" borderId="0"/>
    <xf numFmtId="188" fontId="2" fillId="0" borderId="0"/>
    <xf numFmtId="169" fontId="1" fillId="0" borderId="0"/>
    <xf numFmtId="0" fontId="2" fillId="0" borderId="0"/>
    <xf numFmtId="0" fontId="2" fillId="0" borderId="0"/>
    <xf numFmtId="0" fontId="2" fillId="0" borderId="0"/>
    <xf numFmtId="169" fontId="2" fillId="0" borderId="0"/>
    <xf numFmtId="0" fontId="1" fillId="0" borderId="0"/>
    <xf numFmtId="0" fontId="2" fillId="0" borderId="0"/>
    <xf numFmtId="0" fontId="40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41" fillId="0" borderId="0"/>
    <xf numFmtId="0" fontId="42" fillId="2" borderId="0"/>
    <xf numFmtId="14" fontId="15" fillId="0" borderId="0">
      <alignment horizontal="center" wrapText="1"/>
      <protection locked="0"/>
    </xf>
    <xf numFmtId="189" fontId="2" fillId="0" borderId="0" applyFont="0" applyFill="0" applyBorder="0" applyAlignment="0" applyProtection="0"/>
    <xf numFmtId="174" fontId="2" fillId="0" borderId="0" applyFont="0" applyFill="0" applyBorder="0" applyAlignment="0" applyProtection="0"/>
    <xf numFmtId="19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38" fontId="43" fillId="0" borderId="0" applyNumberFormat="0" applyFill="0" applyBorder="0" applyAlignment="0" applyProtection="0"/>
    <xf numFmtId="38" fontId="18" fillId="20" borderId="0" applyNumberFormat="0" applyFont="0" applyBorder="0" applyAlignment="0" applyProtection="0"/>
    <xf numFmtId="170" fontId="44" fillId="0" borderId="0" applyFill="0" applyBorder="0" applyAlignment="0"/>
    <xf numFmtId="171" fontId="44" fillId="0" borderId="0" applyFill="0" applyBorder="0" applyAlignment="0"/>
    <xf numFmtId="170" fontId="44" fillId="0" borderId="0" applyFill="0" applyBorder="0" applyAlignment="0"/>
    <xf numFmtId="175" fontId="44" fillId="0" borderId="0" applyFill="0" applyBorder="0" applyAlignment="0"/>
    <xf numFmtId="171" fontId="44" fillId="0" borderId="0" applyFill="0" applyBorder="0" applyAlignment="0"/>
    <xf numFmtId="0" fontId="45" fillId="0" borderId="0"/>
    <xf numFmtId="38" fontId="37" fillId="0" borderId="0" applyNumberFormat="0" applyFill="0" applyBorder="0" applyAlignment="0" applyProtection="0"/>
    <xf numFmtId="0" fontId="12" fillId="0" borderId="0" applyNumberFormat="0" applyFont="0" applyFill="0" applyBorder="0" applyAlignment="0" applyProtection="0">
      <alignment horizontal="left"/>
    </xf>
    <xf numFmtId="0" fontId="46" fillId="0" borderId="7">
      <alignment horizontal="center"/>
    </xf>
    <xf numFmtId="0" fontId="47" fillId="21" borderId="0" applyNumberFormat="0" applyFont="0" applyBorder="0" applyAlignment="0">
      <alignment horizontal="center"/>
    </xf>
    <xf numFmtId="14" fontId="48" fillId="0" borderId="0" applyNumberFormat="0" applyFill="0" applyBorder="0" applyAlignment="0" applyProtection="0">
      <alignment horizontal="left"/>
    </xf>
    <xf numFmtId="0" fontId="49" fillId="0" borderId="9">
      <alignment horizontal="centerContinuous"/>
    </xf>
    <xf numFmtId="0" fontId="47" fillId="1" borderId="6" applyNumberFormat="0" applyFont="0" applyAlignment="0">
      <alignment horizontal="center"/>
    </xf>
    <xf numFmtId="0" fontId="50" fillId="0" borderId="0" applyNumberFormat="0" applyFill="0" applyBorder="0" applyAlignment="0" applyProtection="0"/>
    <xf numFmtId="0" fontId="51" fillId="0" borderId="0" applyNumberFormat="0" applyFill="0" applyBorder="0" applyAlignment="0">
      <alignment horizontal="center"/>
    </xf>
    <xf numFmtId="0" fontId="52" fillId="0" borderId="9"/>
    <xf numFmtId="0" fontId="53" fillId="0" borderId="0"/>
    <xf numFmtId="169" fontId="2" fillId="0" borderId="0"/>
    <xf numFmtId="0" fontId="2" fillId="0" borderId="0"/>
    <xf numFmtId="0" fontId="5" fillId="0" borderId="0"/>
    <xf numFmtId="0" fontId="54" fillId="0" borderId="0">
      <alignment vertical="top"/>
    </xf>
    <xf numFmtId="38" fontId="55" fillId="0" borderId="0" applyNumberFormat="0" applyFill="0" applyBorder="0" applyAlignment="0" applyProtection="0"/>
    <xf numFmtId="0" fontId="19" fillId="0" borderId="3">
      <alignment horizontal="center"/>
    </xf>
    <xf numFmtId="169" fontId="19" fillId="0" borderId="3">
      <alignment horizontal="center"/>
    </xf>
    <xf numFmtId="0" fontId="19" fillId="0" borderId="3">
      <alignment horizontal="center"/>
    </xf>
    <xf numFmtId="49" fontId="10" fillId="0" borderId="0" applyFill="0" applyBorder="0" applyAlignment="0"/>
    <xf numFmtId="191" fontId="10" fillId="0" borderId="0" applyFill="0" applyBorder="0" applyAlignment="0"/>
    <xf numFmtId="192" fontId="10" fillId="0" borderId="0" applyFill="0" applyBorder="0" applyAlignment="0"/>
    <xf numFmtId="193" fontId="18" fillId="0" borderId="0" applyFont="0" applyFill="0" applyBorder="0" applyAlignment="0" applyProtection="0"/>
    <xf numFmtId="194" fontId="56" fillId="0" borderId="0" applyBorder="0" applyProtection="0">
      <alignment horizontal="center"/>
    </xf>
    <xf numFmtId="0" fontId="57" fillId="0" borderId="0" applyFill="0" applyBorder="0" applyProtection="0">
      <alignment horizontal="left" vertical="top"/>
    </xf>
    <xf numFmtId="38" fontId="37" fillId="0" borderId="0" applyNumberFormat="0" applyFill="0" applyBorder="0" applyAlignment="0" applyProtection="0"/>
    <xf numFmtId="40" fontId="58" fillId="0" borderId="0" applyFont="0" applyFill="0" applyBorder="0" applyAlignment="0" applyProtection="0"/>
    <xf numFmtId="38" fontId="58" fillId="0" borderId="0" applyFont="0" applyFill="0" applyBorder="0" applyAlignment="0" applyProtection="0"/>
    <xf numFmtId="0" fontId="58" fillId="0" borderId="0" applyFont="0" applyFill="0" applyBorder="0" applyAlignment="0" applyProtection="0"/>
    <xf numFmtId="0" fontId="58" fillId="0" borderId="0" applyFont="0" applyFill="0" applyBorder="0" applyAlignment="0" applyProtection="0"/>
    <xf numFmtId="10" fontId="2" fillId="0" borderId="0" applyFont="0" applyFill="0" applyBorder="0" applyAlignment="0" applyProtection="0"/>
    <xf numFmtId="0" fontId="59" fillId="0" borderId="0"/>
    <xf numFmtId="195" fontId="22" fillId="0" borderId="0" applyFont="0" applyFill="0" applyBorder="0" applyAlignment="0" applyProtection="0"/>
    <xf numFmtId="196" fontId="22" fillId="0" borderId="0" applyFont="0" applyFill="0" applyBorder="0" applyAlignment="0" applyProtection="0"/>
    <xf numFmtId="0" fontId="60" fillId="0" borderId="0" applyFont="0" applyFill="0" applyBorder="0" applyAlignment="0" applyProtection="0"/>
    <xf numFmtId="197" fontId="60" fillId="0" borderId="0" applyFont="0" applyFill="0" applyBorder="0" applyAlignment="0" applyProtection="0"/>
    <xf numFmtId="0" fontId="61" fillId="0" borderId="0"/>
    <xf numFmtId="0" fontId="2" fillId="0" borderId="0"/>
    <xf numFmtId="164" fontId="62" fillId="0" borderId="0" applyFont="0" applyFill="0" applyBorder="0" applyAlignment="0" applyProtection="0"/>
    <xf numFmtId="166" fontId="6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63" fillId="0" borderId="0">
      <alignment vertical="center"/>
    </xf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199" fontId="2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64" fillId="0" borderId="0" applyNumberFormat="0" applyFill="0" applyBorder="0" applyAlignment="0" applyProtection="0">
      <alignment vertical="top"/>
      <protection locked="0"/>
    </xf>
    <xf numFmtId="200" fontId="65" fillId="0" borderId="0"/>
    <xf numFmtId="9" fontId="2" fillId="0" borderId="0" applyFont="0" applyFill="0" applyBorder="0" applyAlignment="0" applyProtection="0"/>
    <xf numFmtId="200" fontId="65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</cellStyleXfs>
  <cellXfs count="155">
    <xf numFmtId="0" fontId="0" fillId="0" borderId="0" xfId="0"/>
    <xf numFmtId="0" fontId="69" fillId="3" borderId="1" xfId="3" applyNumberFormat="1" applyFont="1" applyFill="1" applyBorder="1" applyAlignment="1" applyProtection="1">
      <alignment horizontal="center" vertical="center" wrapText="1"/>
      <protection locked="0"/>
    </xf>
    <xf numFmtId="0" fontId="70" fillId="0" borderId="0" xfId="0" applyFont="1" applyBorder="1"/>
    <xf numFmtId="0" fontId="70" fillId="0" borderId="0" xfId="0" applyFont="1"/>
    <xf numFmtId="0" fontId="71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72" fillId="0" borderId="0" xfId="0" applyNumberFormat="1" applyFont="1" applyAlignment="1" applyProtection="1">
      <alignment horizontal="center" vertical="center"/>
      <protection locked="0"/>
    </xf>
    <xf numFmtId="0" fontId="73" fillId="0" borderId="0" xfId="0" applyFont="1" applyBorder="1"/>
    <xf numFmtId="0" fontId="73" fillId="0" borderId="0" xfId="0" applyFont="1"/>
    <xf numFmtId="0" fontId="73" fillId="23" borderId="0" xfId="0" applyFont="1" applyFill="1" applyBorder="1"/>
    <xf numFmtId="0" fontId="74" fillId="3" borderId="1" xfId="3" applyFont="1" applyFill="1" applyBorder="1" applyAlignment="1" applyProtection="1">
      <alignment horizontal="center" vertical="center" wrapText="1"/>
      <protection locked="0"/>
    </xf>
    <xf numFmtId="14" fontId="74" fillId="3" borderId="1" xfId="3" applyNumberFormat="1" applyFont="1" applyFill="1" applyBorder="1" applyAlignment="1">
      <alignment horizontal="center" vertical="center" wrapText="1"/>
    </xf>
    <xf numFmtId="14" fontId="74" fillId="3" borderId="1" xfId="3" applyNumberFormat="1" applyFont="1" applyFill="1" applyBorder="1" applyAlignment="1" applyProtection="1">
      <alignment horizontal="center" vertical="center" wrapText="1"/>
      <protection locked="0"/>
    </xf>
    <xf numFmtId="200" fontId="74" fillId="3" borderId="10" xfId="3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Font="1" applyFill="1" applyBorder="1" applyAlignment="1" applyProtection="1">
      <alignment horizontal="left" vertical="top" wrapText="1"/>
      <protection locked="0"/>
    </xf>
    <xf numFmtId="200" fontId="18" fillId="23" borderId="1" xfId="2464" applyFont="1" applyFill="1" applyBorder="1" applyAlignment="1" applyProtection="1">
      <alignment horizontal="center" vertical="center"/>
      <protection locked="0"/>
    </xf>
    <xf numFmtId="14" fontId="18" fillId="0" borderId="1" xfId="1" applyNumberFormat="1" applyFont="1" applyFill="1" applyBorder="1" applyAlignment="1">
      <alignment horizontal="center" vertical="center" wrapText="1"/>
    </xf>
    <xf numFmtId="14" fontId="18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NumberFormat="1" applyFont="1" applyFill="1" applyBorder="1" applyAlignment="1">
      <alignment horizontal="center" vertical="center" wrapText="1"/>
    </xf>
    <xf numFmtId="15" fontId="18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NumberFormat="1" applyFont="1" applyFill="1" applyBorder="1" applyAlignment="1" applyProtection="1">
      <alignment horizontal="center" vertical="center"/>
      <protection locked="0"/>
    </xf>
    <xf numFmtId="9" fontId="18" fillId="0" borderId="1" xfId="1" applyNumberFormat="1" applyFont="1" applyFill="1" applyBorder="1" applyAlignment="1" applyProtection="1">
      <alignment horizontal="left" vertical="top" wrapText="1"/>
      <protection locked="0"/>
    </xf>
    <xf numFmtId="0" fontId="18" fillId="0" borderId="1" xfId="1" applyFont="1" applyFill="1" applyBorder="1" applyAlignment="1" applyProtection="1">
      <alignment horizontal="center" vertical="center" wrapText="1"/>
      <protection locked="0"/>
    </xf>
    <xf numFmtId="0" fontId="18" fillId="0" borderId="10" xfId="1" applyFont="1" applyFill="1" applyBorder="1" applyAlignment="1" applyProtection="1">
      <alignment horizontal="left" vertical="top" wrapText="1"/>
      <protection locked="0"/>
    </xf>
    <xf numFmtId="9" fontId="18" fillId="0" borderId="10" xfId="1" applyNumberFormat="1" applyFont="1" applyFill="1" applyBorder="1" applyAlignment="1" applyProtection="1">
      <alignment horizontal="left" vertical="top" wrapText="1"/>
      <protection locked="0"/>
    </xf>
    <xf numFmtId="0" fontId="18" fillId="0" borderId="0" xfId="1" applyFont="1" applyFill="1" applyBorder="1" applyAlignment="1" applyProtection="1">
      <alignment horizontal="left" vertical="top" wrapText="1"/>
      <protection locked="0"/>
    </xf>
    <xf numFmtId="14" fontId="18" fillId="23" borderId="1" xfId="2464" applyNumberFormat="1" applyFont="1" applyFill="1" applyBorder="1" applyAlignment="1">
      <alignment horizontal="center" vertical="center"/>
    </xf>
    <xf numFmtId="200" fontId="18" fillId="23" borderId="1" xfId="2464" applyFont="1" applyFill="1" applyBorder="1" applyAlignment="1" applyProtection="1">
      <alignment horizontal="center" vertical="center" wrapText="1"/>
      <protection locked="0"/>
    </xf>
    <xf numFmtId="200" fontId="18" fillId="0" borderId="1" xfId="2316" applyFont="1" applyBorder="1" applyAlignment="1" applyProtection="1">
      <alignment horizontal="left" vertical="top" wrapText="1"/>
      <protection locked="0"/>
    </xf>
    <xf numFmtId="9" fontId="18" fillId="0" borderId="0" xfId="1" applyNumberFormat="1" applyFont="1" applyFill="1" applyBorder="1" applyAlignment="1" applyProtection="1">
      <alignment horizontal="left" vertical="top" wrapText="1"/>
      <protection locked="0"/>
    </xf>
    <xf numFmtId="200" fontId="18" fillId="0" borderId="1" xfId="2300" applyFont="1" applyBorder="1" applyAlignment="1" applyProtection="1">
      <alignment horizontal="left" vertical="top" wrapText="1"/>
      <protection locked="0"/>
    </xf>
    <xf numFmtId="0" fontId="75" fillId="0" borderId="0" xfId="0" applyFont="1" applyAlignment="1" applyProtection="1">
      <alignment horizontal="left" vertical="top" wrapText="1"/>
      <protection locked="0"/>
    </xf>
    <xf numFmtId="14" fontId="75" fillId="0" borderId="0" xfId="0" applyNumberFormat="1" applyFont="1" applyAlignment="1">
      <alignment horizontal="center" vertical="center"/>
    </xf>
    <xf numFmtId="14" fontId="75" fillId="0" borderId="0" xfId="0" applyNumberFormat="1" applyFont="1" applyAlignment="1" applyProtection="1">
      <alignment horizontal="center" vertical="center"/>
      <protection locked="0"/>
    </xf>
    <xf numFmtId="0" fontId="75" fillId="0" borderId="0" xfId="0" applyFont="1" applyAlignment="1" applyProtection="1">
      <alignment horizontal="center" vertical="center"/>
      <protection locked="0"/>
    </xf>
    <xf numFmtId="0" fontId="75" fillId="0" borderId="0" xfId="0" applyFont="1" applyAlignment="1" applyProtection="1">
      <alignment wrapText="1"/>
      <protection locked="0"/>
    </xf>
    <xf numFmtId="0" fontId="75" fillId="0" borderId="0" xfId="0" applyFont="1" applyAlignment="1">
      <alignment wrapText="1"/>
    </xf>
    <xf numFmtId="0" fontId="75" fillId="0" borderId="0" xfId="0" applyFont="1" applyAlignment="1" applyProtection="1">
      <alignment horizontal="center" vertical="center" wrapText="1"/>
      <protection locked="0"/>
    </xf>
    <xf numFmtId="0" fontId="76" fillId="0" borderId="0" xfId="0" applyFont="1"/>
    <xf numFmtId="0" fontId="75" fillId="0" borderId="1" xfId="0" applyFont="1" applyBorder="1" applyAlignment="1" applyProtection="1">
      <alignment horizontal="left" vertical="top" wrapText="1"/>
      <protection locked="0"/>
    </xf>
    <xf numFmtId="14" fontId="18" fillId="0" borderId="1" xfId="1" applyNumberFormat="1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49" fontId="0" fillId="0" borderId="11" xfId="0" applyNumberFormat="1" applyBorder="1" applyAlignment="1">
      <alignment horizontal="center" vertical="center" wrapText="1"/>
    </xf>
    <xf numFmtId="49" fontId="0" fillId="0" borderId="16" xfId="0" applyNumberFormat="1" applyBorder="1" applyAlignment="1">
      <alignment horizontal="center" vertical="center" wrapText="1"/>
    </xf>
    <xf numFmtId="14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NumberFormat="1" applyFont="1" applyFill="1" applyBorder="1" applyAlignment="1">
      <alignment horizontal="center" vertical="center" wrapText="1"/>
    </xf>
    <xf numFmtId="14" fontId="71" fillId="0" borderId="0" xfId="1" applyNumberFormat="1" applyFont="1" applyFill="1" applyBorder="1" applyAlignment="1" applyProtection="1">
      <alignment horizontal="center" vertical="center" wrapText="1"/>
      <protection locked="0"/>
    </xf>
    <xf numFmtId="15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NumberFormat="1" applyFont="1" applyFill="1" applyBorder="1" applyAlignment="1" applyProtection="1">
      <alignment horizontal="center" vertical="center"/>
      <protection locked="0"/>
    </xf>
    <xf numFmtId="200" fontId="18" fillId="23" borderId="0" xfId="2464" applyFont="1" applyFill="1" applyBorder="1" applyAlignment="1" applyProtection="1">
      <alignment horizontal="center" vertical="center"/>
      <protection locked="0"/>
    </xf>
    <xf numFmtId="0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9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Font="1" applyFill="1" applyBorder="1" applyAlignment="1" applyProtection="1">
      <alignment horizontal="center" vertical="center" wrapText="1"/>
      <protection locked="0"/>
    </xf>
    <xf numFmtId="0" fontId="71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75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5" fillId="0" borderId="0" xfId="0" applyFont="1" applyBorder="1" applyAlignment="1" applyProtection="1">
      <alignment horizontal="center" vertical="center" wrapText="1"/>
      <protection locked="0"/>
    </xf>
    <xf numFmtId="200" fontId="18" fillId="0" borderId="0" xfId="2316" applyFont="1" applyBorder="1" applyAlignment="1" applyProtection="1">
      <alignment horizontal="center" vertical="center" wrapText="1"/>
      <protection locked="0"/>
    </xf>
    <xf numFmtId="0" fontId="70" fillId="0" borderId="0" xfId="0" applyFont="1" applyBorder="1" applyAlignment="1">
      <alignment horizontal="center" vertical="center"/>
    </xf>
    <xf numFmtId="0" fontId="73" fillId="23" borderId="0" xfId="0" applyFont="1" applyFill="1" applyBorder="1" applyAlignment="1">
      <alignment horizontal="center" vertical="center"/>
    </xf>
    <xf numFmtId="0" fontId="75" fillId="0" borderId="0" xfId="0" applyFont="1" applyFill="1" applyBorder="1" applyAlignment="1">
      <alignment horizontal="center" vertical="center"/>
    </xf>
    <xf numFmtId="0" fontId="75" fillId="0" borderId="0" xfId="0" applyNumberFormat="1" applyFont="1" applyBorder="1" applyAlignment="1">
      <alignment horizontal="center" vertical="center"/>
    </xf>
    <xf numFmtId="0" fontId="75" fillId="23" borderId="0" xfId="0" applyFont="1" applyFill="1" applyBorder="1" applyAlignment="1">
      <alignment horizontal="center" vertical="center"/>
    </xf>
    <xf numFmtId="0" fontId="73" fillId="0" borderId="0" xfId="0" applyFont="1" applyBorder="1" applyAlignment="1">
      <alignment horizontal="center" vertical="center"/>
    </xf>
    <xf numFmtId="200" fontId="18" fillId="23" borderId="0" xfId="2464" applyFont="1" applyFill="1" applyBorder="1" applyAlignment="1" applyProtection="1">
      <alignment horizontal="center" vertical="center" wrapText="1"/>
      <protection locked="0"/>
    </xf>
    <xf numFmtId="0" fontId="18" fillId="23" borderId="0" xfId="2464" applyNumberFormat="1" applyFont="1" applyFill="1" applyBorder="1" applyAlignment="1" applyProtection="1">
      <alignment horizontal="center" vertical="center" wrapText="1"/>
      <protection locked="0"/>
    </xf>
    <xf numFmtId="200" fontId="18" fillId="0" borderId="0" xfId="230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 vertical="center"/>
    </xf>
    <xf numFmtId="0" fontId="18" fillId="0" borderId="20" xfId="1" applyFont="1" applyFill="1" applyBorder="1" applyAlignment="1" applyProtection="1">
      <alignment horizontal="center" vertical="center" wrapText="1"/>
      <protection locked="0"/>
    </xf>
    <xf numFmtId="14" fontId="18" fillId="0" borderId="11" xfId="1" applyNumberFormat="1" applyFont="1" applyFill="1" applyBorder="1" applyAlignment="1" applyProtection="1">
      <alignment horizontal="center" vertical="center" wrapText="1"/>
      <protection locked="0"/>
    </xf>
    <xf numFmtId="200" fontId="18" fillId="23" borderId="20" xfId="2464" applyFont="1" applyFill="1" applyBorder="1" applyAlignment="1" applyProtection="1">
      <alignment horizontal="center" vertical="center" wrapText="1"/>
      <protection locked="0"/>
    </xf>
    <xf numFmtId="0" fontId="0" fillId="0" borderId="2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67" fillId="0" borderId="0" xfId="0" applyNumberFormat="1" applyFont="1" applyFill="1" applyBorder="1" applyAlignment="1">
      <alignment horizontal="center" vertical="center"/>
    </xf>
    <xf numFmtId="14" fontId="66" fillId="0" borderId="0" xfId="1" applyNumberFormat="1" applyFont="1" applyFill="1" applyBorder="1" applyAlignment="1">
      <alignment horizontal="center" vertical="center" wrapText="1"/>
    </xf>
    <xf numFmtId="0" fontId="68" fillId="0" borderId="0" xfId="1" applyNumberFormat="1" applyFont="1" applyFill="1" applyBorder="1" applyAlignment="1">
      <alignment horizontal="center" vertical="center" wrapText="1"/>
    </xf>
    <xf numFmtId="15" fontId="66" fillId="0" borderId="0" xfId="1" applyNumberFormat="1" applyFont="1" applyFill="1" applyBorder="1" applyAlignment="1">
      <alignment horizontal="center" vertical="center" wrapText="1"/>
    </xf>
    <xf numFmtId="9" fontId="66" fillId="0" borderId="0" xfId="1" applyNumberFormat="1" applyFont="1" applyFill="1" applyBorder="1" applyAlignment="1">
      <alignment horizontal="center" vertical="center"/>
    </xf>
    <xf numFmtId="0" fontId="66" fillId="0" borderId="0" xfId="1" applyFont="1" applyFill="1" applyBorder="1" applyAlignment="1">
      <alignment horizontal="center" vertical="center" wrapText="1"/>
    </xf>
    <xf numFmtId="0" fontId="76" fillId="22" borderId="0" xfId="0" applyFont="1" applyFill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14" fontId="0" fillId="0" borderId="17" xfId="0" applyNumberForma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78" fillId="22" borderId="18" xfId="1" applyFont="1" applyFill="1" applyBorder="1" applyAlignment="1">
      <alignment horizontal="center" vertical="center" wrapText="1"/>
    </xf>
    <xf numFmtId="14" fontId="78" fillId="22" borderId="19" xfId="1" applyNumberFormat="1" applyFont="1" applyFill="1" applyBorder="1" applyAlignment="1">
      <alignment horizontal="center" vertical="center" wrapText="1"/>
    </xf>
    <xf numFmtId="14" fontId="79" fillId="22" borderId="13" xfId="0" applyNumberFormat="1" applyFont="1" applyFill="1" applyBorder="1" applyAlignment="1">
      <alignment horizontal="center" vertical="center"/>
    </xf>
    <xf numFmtId="0" fontId="80" fillId="24" borderId="25" xfId="0" applyFont="1" applyFill="1" applyBorder="1" applyAlignment="1">
      <alignment horizontal="center" vertical="center" wrapText="1"/>
    </xf>
    <xf numFmtId="0" fontId="80" fillId="24" borderId="26" xfId="0" applyFont="1" applyFill="1" applyBorder="1" applyAlignment="1">
      <alignment horizontal="center" vertical="center" wrapText="1"/>
    </xf>
    <xf numFmtId="0" fontId="80" fillId="24" borderId="27" xfId="0" applyFont="1" applyFill="1" applyBorder="1" applyAlignment="1">
      <alignment horizontal="center" vertical="center" wrapText="1"/>
    </xf>
    <xf numFmtId="0" fontId="18" fillId="0" borderId="28" xfId="1" applyFont="1" applyFill="1" applyBorder="1" applyAlignment="1" applyProtection="1">
      <alignment horizontal="left" vertical="top" wrapText="1"/>
      <protection locked="0"/>
    </xf>
    <xf numFmtId="0" fontId="18" fillId="0" borderId="29" xfId="1" applyFont="1" applyFill="1" applyBorder="1" applyAlignment="1" applyProtection="1">
      <alignment horizontal="left" vertical="top" wrapText="1"/>
      <protection locked="0"/>
    </xf>
    <xf numFmtId="0" fontId="18" fillId="0" borderId="29" xfId="1" applyFont="1" applyFill="1" applyBorder="1" applyAlignment="1" applyProtection="1">
      <alignment horizontal="center" vertical="center" wrapText="1"/>
      <protection locked="0"/>
    </xf>
    <xf numFmtId="14" fontId="18" fillId="0" borderId="29" xfId="1" applyNumberFormat="1" applyFont="1" applyFill="1" applyBorder="1" applyAlignment="1" applyProtection="1">
      <alignment horizontal="center" vertical="center" wrapText="1"/>
      <protection locked="0"/>
    </xf>
    <xf numFmtId="14" fontId="18" fillId="0" borderId="29" xfId="1" applyNumberFormat="1" applyFont="1" applyFill="1" applyBorder="1" applyAlignment="1">
      <alignment horizontal="center" vertical="center" wrapText="1"/>
    </xf>
    <xf numFmtId="0" fontId="18" fillId="0" borderId="29" xfId="1" applyNumberFormat="1" applyFont="1" applyFill="1" applyBorder="1" applyAlignment="1">
      <alignment horizontal="center" vertical="center" wrapText="1"/>
    </xf>
    <xf numFmtId="0" fontId="71" fillId="0" borderId="29" xfId="1" applyNumberFormat="1" applyFont="1" applyFill="1" applyBorder="1" applyAlignment="1" applyProtection="1">
      <alignment horizontal="center" vertical="center" wrapText="1"/>
      <protection locked="0"/>
    </xf>
    <xf numFmtId="15" fontId="18" fillId="0" borderId="29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29" xfId="1" applyNumberFormat="1" applyFont="1" applyFill="1" applyBorder="1" applyAlignment="1" applyProtection="1">
      <alignment horizontal="center" vertical="center"/>
      <protection locked="0"/>
    </xf>
    <xf numFmtId="9" fontId="18" fillId="0" borderId="29" xfId="1" applyNumberFormat="1" applyFont="1" applyFill="1" applyBorder="1" applyAlignment="1" applyProtection="1">
      <alignment horizontal="left" vertical="top" wrapText="1"/>
      <protection locked="0"/>
    </xf>
    <xf numFmtId="9" fontId="18" fillId="0" borderId="30" xfId="1" applyNumberFormat="1" applyFont="1" applyFill="1" applyBorder="1" applyAlignment="1" applyProtection="1">
      <alignment horizontal="left" vertical="top" wrapText="1"/>
      <protection locked="0"/>
    </xf>
    <xf numFmtId="0" fontId="18" fillId="0" borderId="30" xfId="1" applyFont="1" applyFill="1" applyBorder="1" applyAlignment="1" applyProtection="1">
      <alignment horizontal="left" vertical="top" wrapText="1"/>
      <protection locked="0"/>
    </xf>
    <xf numFmtId="0" fontId="77" fillId="0" borderId="18" xfId="1" applyFont="1" applyFill="1" applyBorder="1" applyAlignment="1" applyProtection="1">
      <alignment horizontal="left" vertical="top" wrapText="1"/>
      <protection locked="0"/>
    </xf>
    <xf numFmtId="200" fontId="18" fillId="23" borderId="19" xfId="2464" applyFont="1" applyFill="1" applyBorder="1" applyAlignment="1" applyProtection="1">
      <alignment horizontal="center" vertical="center"/>
      <protection locked="0"/>
    </xf>
    <xf numFmtId="0" fontId="18" fillId="0" borderId="19" xfId="1" applyFont="1" applyFill="1" applyBorder="1" applyAlignment="1" applyProtection="1">
      <alignment horizontal="center" vertical="center" wrapText="1"/>
      <protection locked="0"/>
    </xf>
    <xf numFmtId="14" fontId="18" fillId="0" borderId="19" xfId="1" applyNumberFormat="1" applyFont="1" applyFill="1" applyBorder="1" applyAlignment="1">
      <alignment horizontal="center" vertical="center" wrapText="1"/>
    </xf>
    <xf numFmtId="0" fontId="71" fillId="0" borderId="19" xfId="1" applyNumberFormat="1" applyFont="1" applyFill="1" applyBorder="1" applyAlignment="1" applyProtection="1">
      <alignment horizontal="center" vertical="center" wrapText="1"/>
      <protection locked="0"/>
    </xf>
    <xf numFmtId="15" fontId="18" fillId="0" borderId="19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19" xfId="1" applyNumberFormat="1" applyFont="1" applyFill="1" applyBorder="1" applyAlignment="1" applyProtection="1">
      <alignment horizontal="center" vertical="center"/>
      <protection locked="0"/>
    </xf>
    <xf numFmtId="9" fontId="18" fillId="0" borderId="19" xfId="1" applyNumberFormat="1" applyFont="1" applyFill="1" applyBorder="1" applyAlignment="1" applyProtection="1">
      <alignment horizontal="left" vertical="top" wrapText="1"/>
      <protection locked="0"/>
    </xf>
    <xf numFmtId="14" fontId="18" fillId="0" borderId="19" xfId="1" applyNumberFormat="1" applyFont="1" applyFill="1" applyBorder="1" applyAlignment="1" applyProtection="1">
      <alignment horizontal="left" vertical="top" wrapText="1"/>
      <protection locked="0"/>
    </xf>
    <xf numFmtId="0" fontId="18" fillId="0" borderId="13" xfId="1" applyFont="1" applyFill="1" applyBorder="1" applyAlignment="1" applyProtection="1">
      <alignment horizontal="left" vertical="top" wrapText="1"/>
      <protection locked="0"/>
    </xf>
    <xf numFmtId="0" fontId="77" fillId="0" borderId="20" xfId="1" applyFont="1" applyFill="1" applyBorder="1" applyAlignment="1" applyProtection="1">
      <alignment horizontal="left" vertical="top" wrapText="1"/>
      <protection locked="0"/>
    </xf>
    <xf numFmtId="200" fontId="18" fillId="0" borderId="11" xfId="2316" applyFont="1" applyBorder="1" applyAlignment="1" applyProtection="1">
      <alignment horizontal="left" vertical="top" wrapText="1"/>
      <protection locked="0"/>
    </xf>
    <xf numFmtId="0" fontId="18" fillId="0" borderId="11" xfId="1" applyFont="1" applyFill="1" applyBorder="1" applyAlignment="1" applyProtection="1">
      <alignment horizontal="left" vertical="top" wrapText="1"/>
      <protection locked="0"/>
    </xf>
    <xf numFmtId="9" fontId="18" fillId="0" borderId="11" xfId="1" applyNumberFormat="1" applyFont="1" applyFill="1" applyBorder="1" applyAlignment="1" applyProtection="1">
      <alignment horizontal="left" vertical="top" wrapText="1"/>
      <protection locked="0"/>
    </xf>
    <xf numFmtId="200" fontId="77" fillId="23" borderId="20" xfId="2464" applyFont="1" applyFill="1" applyBorder="1" applyAlignment="1" applyProtection="1">
      <alignment horizontal="left" vertical="top" wrapText="1"/>
      <protection locked="0"/>
    </xf>
    <xf numFmtId="0" fontId="75" fillId="0" borderId="20" xfId="0" applyFont="1" applyBorder="1" applyAlignment="1" applyProtection="1">
      <alignment horizontal="left" vertical="top" wrapText="1"/>
      <protection locked="0"/>
    </xf>
    <xf numFmtId="0" fontId="75" fillId="0" borderId="1" xfId="0" applyFont="1" applyBorder="1" applyAlignment="1" applyProtection="1">
      <alignment horizontal="center" vertical="center" wrapText="1"/>
      <protection locked="0"/>
    </xf>
    <xf numFmtId="14" fontId="75" fillId="0" borderId="1" xfId="0" applyNumberFormat="1" applyFont="1" applyBorder="1" applyAlignment="1">
      <alignment horizontal="center" vertical="center"/>
    </xf>
    <xf numFmtId="14" fontId="75" fillId="0" borderId="1" xfId="0" applyNumberFormat="1" applyFont="1" applyBorder="1" applyAlignment="1" applyProtection="1">
      <alignment horizontal="center" vertical="center"/>
      <protection locked="0"/>
    </xf>
    <xf numFmtId="0" fontId="72" fillId="0" borderId="1" xfId="0" applyNumberFormat="1" applyFont="1" applyBorder="1" applyAlignment="1" applyProtection="1">
      <alignment horizontal="center" vertical="center"/>
      <protection locked="0"/>
    </xf>
    <xf numFmtId="0" fontId="75" fillId="0" borderId="1" xfId="0" applyFont="1" applyBorder="1" applyAlignment="1" applyProtection="1">
      <alignment horizontal="center" vertical="center"/>
      <protection locked="0"/>
    </xf>
    <xf numFmtId="0" fontId="75" fillId="0" borderId="11" xfId="0" applyFont="1" applyBorder="1" applyAlignment="1" applyProtection="1">
      <alignment horizontal="left" vertical="top" wrapText="1"/>
      <protection locked="0"/>
    </xf>
    <xf numFmtId="0" fontId="75" fillId="23" borderId="1" xfId="0" applyFont="1" applyFill="1" applyBorder="1" applyAlignment="1" applyProtection="1">
      <alignment horizontal="center" vertical="center" wrapText="1"/>
      <protection locked="0"/>
    </xf>
    <xf numFmtId="0" fontId="75" fillId="0" borderId="21" xfId="0" applyFont="1" applyBorder="1" applyAlignment="1" applyProtection="1">
      <alignment horizontal="left" vertical="top" wrapText="1"/>
      <protection locked="0"/>
    </xf>
    <xf numFmtId="0" fontId="75" fillId="0" borderId="22" xfId="0" applyFont="1" applyBorder="1" applyAlignment="1" applyProtection="1">
      <alignment horizontal="center" vertical="center" wrapText="1"/>
      <protection locked="0"/>
    </xf>
    <xf numFmtId="14" fontId="75" fillId="0" borderId="22" xfId="0" applyNumberFormat="1" applyFont="1" applyBorder="1" applyAlignment="1">
      <alignment horizontal="center" vertical="center"/>
    </xf>
    <xf numFmtId="14" fontId="75" fillId="0" borderId="22" xfId="0" applyNumberFormat="1" applyFont="1" applyBorder="1" applyAlignment="1" applyProtection="1">
      <alignment horizontal="center" vertical="center"/>
      <protection locked="0"/>
    </xf>
    <xf numFmtId="0" fontId="72" fillId="0" borderId="22" xfId="0" applyNumberFormat="1" applyFont="1" applyBorder="1" applyAlignment="1" applyProtection="1">
      <alignment horizontal="center" vertical="center"/>
      <protection locked="0"/>
    </xf>
    <xf numFmtId="0" fontId="75" fillId="0" borderId="22" xfId="0" applyFont="1" applyBorder="1" applyAlignment="1" applyProtection="1">
      <alignment horizontal="center" vertical="center"/>
      <protection locked="0"/>
    </xf>
    <xf numFmtId="0" fontId="75" fillId="0" borderId="22" xfId="0" applyFont="1" applyBorder="1" applyAlignment="1" applyProtection="1">
      <alignment horizontal="left" vertical="top" wrapText="1"/>
      <protection locked="0"/>
    </xf>
    <xf numFmtId="0" fontId="75" fillId="0" borderId="16" xfId="0" applyFont="1" applyBorder="1" applyAlignment="1" applyProtection="1">
      <alignment horizontal="left" vertical="top" wrapText="1"/>
      <protection locked="0"/>
    </xf>
    <xf numFmtId="0" fontId="18" fillId="0" borderId="18" xfId="1" applyFont="1" applyFill="1" applyBorder="1" applyAlignment="1" applyProtection="1">
      <alignment horizontal="left" vertical="top" wrapText="1"/>
      <protection locked="0"/>
    </xf>
    <xf numFmtId="0" fontId="18" fillId="0" borderId="19" xfId="1" applyFont="1" applyFill="1" applyBorder="1" applyAlignment="1" applyProtection="1">
      <alignment horizontal="left" vertical="top" wrapText="1"/>
      <protection locked="0"/>
    </xf>
    <xf numFmtId="14" fontId="18" fillId="0" borderId="13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20" xfId="1" applyFont="1" applyFill="1" applyBorder="1" applyAlignment="1" applyProtection="1">
      <alignment horizontal="left" vertical="top" wrapText="1"/>
      <protection locked="0"/>
    </xf>
    <xf numFmtId="200" fontId="18" fillId="23" borderId="11" xfId="2464" applyFont="1" applyFill="1" applyBorder="1" applyAlignment="1" applyProtection="1">
      <alignment horizontal="center" vertical="center"/>
      <protection locked="0"/>
    </xf>
    <xf numFmtId="0" fontId="75" fillId="0" borderId="1" xfId="0" applyFont="1" applyBorder="1" applyAlignment="1">
      <alignment wrapText="1"/>
    </xf>
    <xf numFmtId="14" fontId="75" fillId="0" borderId="11" xfId="0" applyNumberFormat="1" applyFont="1" applyBorder="1" applyAlignment="1" applyProtection="1">
      <alignment horizontal="center" vertical="center"/>
      <protection locked="0"/>
    </xf>
    <xf numFmtId="0" fontId="75" fillId="0" borderId="20" xfId="0" applyFont="1" applyBorder="1" applyAlignment="1" applyProtection="1">
      <alignment wrapText="1"/>
      <protection locked="0"/>
    </xf>
    <xf numFmtId="0" fontId="75" fillId="0" borderId="21" xfId="0" applyFont="1" applyBorder="1" applyAlignment="1" applyProtection="1">
      <alignment wrapText="1"/>
      <protection locked="0"/>
    </xf>
    <xf numFmtId="0" fontId="75" fillId="0" borderId="22" xfId="0" applyFont="1" applyBorder="1" applyAlignment="1">
      <alignment wrapText="1"/>
    </xf>
    <xf numFmtId="14" fontId="75" fillId="0" borderId="16" xfId="0" applyNumberFormat="1" applyFont="1" applyBorder="1" applyAlignment="1" applyProtection="1">
      <alignment horizontal="center" vertical="center"/>
      <protection locked="0"/>
    </xf>
    <xf numFmtId="200" fontId="18" fillId="0" borderId="19" xfId="2316" applyFont="1" applyBorder="1" applyAlignment="1" applyProtection="1">
      <alignment horizontal="left" vertical="top" wrapText="1"/>
      <protection locked="0"/>
    </xf>
    <xf numFmtId="0" fontId="75" fillId="0" borderId="28" xfId="0" applyFont="1" applyBorder="1" applyAlignment="1" applyProtection="1">
      <alignment wrapText="1"/>
      <protection locked="0"/>
    </xf>
  </cellXfs>
  <cellStyles count="2466">
    <cellStyle name="%" xfId="4"/>
    <cellStyle name="% 2" xfId="5"/>
    <cellStyle name="% 4" xfId="6"/>
    <cellStyle name="% 6" xfId="7"/>
    <cellStyle name="% 7" xfId="8"/>
    <cellStyle name="% 8" xfId="9"/>
    <cellStyle name="_14-Sales" xfId="10"/>
    <cellStyle name="_14-Sales_AMD pricing version 2" xfId="11"/>
    <cellStyle name="_14-Sales_Asia Budget 06 vs 05 Rev VAR with Asia Based Clients" xfId="12"/>
    <cellStyle name="_14-Sales_Asia Budget 06 vs 05 Rev VAR with Asia Based Clients_bridge 2006 bud w forecast" xfId="13"/>
    <cellStyle name="_14-Sales_Asia Budget 06 vs 05 Rev VAR with Asia Based Clients_upshot Rev and Var - 200306-Revised-v2" xfId="14"/>
    <cellStyle name="_14-Sales_Asia Budget 06 vs 05 Rev VAR with Asia Based Clients_upshot Rev and Var - 200306-Revised-v2_bridge 2006 bud w forecast" xfId="15"/>
    <cellStyle name="_14-Sales_Asia Budget 06 vs 05 Rev VAR with Asia Based Clients_upshot Rev and Var - 200306-Revised-v2_Upshot Rev and Var - 200306-v11" xfId="16"/>
    <cellStyle name="_14-Sales_Asia Budget 06 vs 05 Rev VAR with Asia Based Clients_upshot Rev and Var - 200306-Revised-v2_Upshot Rev and Var - 200306-v11-elva" xfId="17"/>
    <cellStyle name="_14-Sales_Asia Budget 06 vs 05 Rev VAR with Asia Based Clients_upshot Rev and Var - 200306-Revised-v2_Upshot Rev and Var - 200306-v15" xfId="18"/>
    <cellStyle name="_14-Sales_Asia Budget 06 vs 05 Rev VAR with Asia Based Clients_upshot Rev and Var - 200306-Revised-v2_Upshot Rev and Var - 200306-v18" xfId="19"/>
    <cellStyle name="_14-Sales_Asia Budget 06 vs 05 Rev VAR with Asia Based Clients_upshot Rev and Var - 200306-Revised-v2_Upshot Rev and Var - 200306-v9  FOR lisa" xfId="20"/>
    <cellStyle name="_14-Sales_Asia Budget 06 vs 05 Rev VAR with Asia Based Clients_Upshot Rev and Var - 200306-v11" xfId="21"/>
    <cellStyle name="_14-Sales_Asia Budget 06 vs 05 Rev VAR with Asia Based Clients_Upshot Rev and Var - 200306-v11-elva" xfId="22"/>
    <cellStyle name="_14-Sales_Asia Budget 06 vs 05 Rev VAR with Asia Based Clients_Upshot Rev and Var - 200306-v15" xfId="23"/>
    <cellStyle name="_14-Sales_Asia Budget 06 vs 05 Rev VAR with Asia Based Clients_Upshot Rev and Var - 200306-v18" xfId="24"/>
    <cellStyle name="_14-Sales_Asia Budget 06 vs 05 Rev VAR with Asia Based Clients_Upshot Rev and Var - 200306-v6" xfId="25"/>
    <cellStyle name="_14-Sales_Asia Budget 06 vs 05 Rev VAR with Asia Based Clients_Upshot Rev and Var - 200306-v6_bridge 2006 bud w forecast" xfId="26"/>
    <cellStyle name="_14-Sales_Asia Budget 06 vs 05 Rev VAR with Asia Based Clients_Upshot Rev and Var - 200306-v6_Upshot Rev and Var - 200306-v11" xfId="27"/>
    <cellStyle name="_14-Sales_Asia Budget 06 vs 05 Rev VAR with Asia Based Clients_Upshot Rev and Var - 200306-v6_Upshot Rev and Var - 200306-v11-elva" xfId="28"/>
    <cellStyle name="_14-Sales_Asia Budget 06 vs 05 Rev VAR with Asia Based Clients_Upshot Rev and Var - 200306-v6_Upshot Rev and Var - 200306-v15" xfId="29"/>
    <cellStyle name="_14-Sales_Asia Budget 06 vs 05 Rev VAR with Asia Based Clients_Upshot Rev and Var - 200306-v6_Upshot Rev and Var - 200306-v18" xfId="30"/>
    <cellStyle name="_14-Sales_Asia Budget 06 vs 05 Rev VAR with Asia Based Clients_Upshot Rev and Var - 200306-v6_Upshot Rev and Var - 200306-v9  FOR lisa" xfId="31"/>
    <cellStyle name="_14-Sales_Asia Budget 06 vs 05 Rev VAR with Asia Based Clients_Upshot Rev and Var - 200306-v9  FOR lisa" xfId="32"/>
    <cellStyle name="_14-Sales_bridge 2006 bud w forecast" xfId="33"/>
    <cellStyle name="_14-Sales_CAPEX FY2006_KS_0111" xfId="34"/>
    <cellStyle name="_14-Sales_Trial Asia Budget 06 vs 05 Rev VAR with Asia Based Clients" xfId="35"/>
    <cellStyle name="_14-Sales_Trial Asia Budget 06 vs 05 Rev VAR with Asia Based Clients_bridge 2006 bud w forecast" xfId="36"/>
    <cellStyle name="_14-Sales_Trial Asia Budget 06 vs 05 Rev VAR with Asia Based Clients_upshot Rev and Var - 200306-Revised-v2" xfId="37"/>
    <cellStyle name="_14-Sales_Trial Asia Budget 06 vs 05 Rev VAR with Asia Based Clients_upshot Rev and Var - 200306-Revised-v2_bridge 2006 bud w forecast" xfId="38"/>
    <cellStyle name="_14-Sales_Trial Asia Budget 06 vs 05 Rev VAR with Asia Based Clients_upshot Rev and Var - 200306-Revised-v2_Upshot Rev and Var - 200306-v11" xfId="39"/>
    <cellStyle name="_14-Sales_Trial Asia Budget 06 vs 05 Rev VAR with Asia Based Clients_upshot Rev and Var - 200306-Revised-v2_Upshot Rev and Var - 200306-v11-elva" xfId="40"/>
    <cellStyle name="_14-Sales_Trial Asia Budget 06 vs 05 Rev VAR with Asia Based Clients_upshot Rev and Var - 200306-Revised-v2_Upshot Rev and Var - 200306-v15" xfId="41"/>
    <cellStyle name="_14-Sales_Trial Asia Budget 06 vs 05 Rev VAR with Asia Based Clients_upshot Rev and Var - 200306-Revised-v2_Upshot Rev and Var - 200306-v18" xfId="42"/>
    <cellStyle name="_14-Sales_Trial Asia Budget 06 vs 05 Rev VAR with Asia Based Clients_upshot Rev and Var - 200306-Revised-v2_Upshot Rev and Var - 200306-v9  FOR lisa" xfId="43"/>
    <cellStyle name="_14-Sales_Trial Asia Budget 06 vs 05 Rev VAR with Asia Based Clients_Upshot Rev and Var - 200306-v11" xfId="44"/>
    <cellStyle name="_14-Sales_Trial Asia Budget 06 vs 05 Rev VAR with Asia Based Clients_Upshot Rev and Var - 200306-v11-elva" xfId="45"/>
    <cellStyle name="_14-Sales_Trial Asia Budget 06 vs 05 Rev VAR with Asia Based Clients_Upshot Rev and Var - 200306-v15" xfId="46"/>
    <cellStyle name="_14-Sales_Trial Asia Budget 06 vs 05 Rev VAR with Asia Based Clients_Upshot Rev and Var - 200306-v18" xfId="47"/>
    <cellStyle name="_14-Sales_Trial Asia Budget 06 vs 05 Rev VAR with Asia Based Clients_Upshot Rev and Var - 200306-v6" xfId="48"/>
    <cellStyle name="_14-Sales_Trial Asia Budget 06 vs 05 Rev VAR with Asia Based Clients_Upshot Rev and Var - 200306-v6_bridge 2006 bud w forecast" xfId="49"/>
    <cellStyle name="_14-Sales_Trial Asia Budget 06 vs 05 Rev VAR with Asia Based Clients_Upshot Rev and Var - 200306-v6_Upshot Rev and Var - 200306-v11" xfId="50"/>
    <cellStyle name="_14-Sales_Trial Asia Budget 06 vs 05 Rev VAR with Asia Based Clients_Upshot Rev and Var - 200306-v6_Upshot Rev and Var - 200306-v11-elva" xfId="51"/>
    <cellStyle name="_14-Sales_Trial Asia Budget 06 vs 05 Rev VAR with Asia Based Clients_Upshot Rev and Var - 200306-v6_Upshot Rev and Var - 200306-v15" xfId="52"/>
    <cellStyle name="_14-Sales_Trial Asia Budget 06 vs 05 Rev VAR with Asia Based Clients_Upshot Rev and Var - 200306-v6_Upshot Rev and Var - 200306-v18" xfId="53"/>
    <cellStyle name="_14-Sales_Trial Asia Budget 06 vs 05 Rev VAR with Asia Based Clients_Upshot Rev and Var - 200306-v6_Upshot Rev and Var - 200306-v9  FOR lisa" xfId="54"/>
    <cellStyle name="_14-Sales_Trial Asia Budget 06 vs 05 Rev VAR with Asia Based Clients_Upshot Rev and Var - 200306-v9  FOR lisa" xfId="55"/>
    <cellStyle name="_14-Sales_upshot Rev and Var - 200306-Revised-v2" xfId="56"/>
    <cellStyle name="_14-Sales_upshot Rev and Var - 200306-Revised-v2_bridge 2006 bud w forecast" xfId="57"/>
    <cellStyle name="_14-Sales_upshot Rev and Var - 200306-Revised-v2_Upshot Rev and Var - 200306-v11" xfId="58"/>
    <cellStyle name="_14-Sales_upshot Rev and Var - 200306-Revised-v2_Upshot Rev and Var - 200306-v11-elva" xfId="59"/>
    <cellStyle name="_14-Sales_upshot Rev and Var - 200306-Revised-v2_Upshot Rev and Var - 200306-v15" xfId="60"/>
    <cellStyle name="_14-Sales_upshot Rev and Var - 200306-Revised-v2_Upshot Rev and Var - 200306-v18" xfId="61"/>
    <cellStyle name="_14-Sales_upshot Rev and Var - 200306-Revised-v2_Upshot Rev and Var - 200306-v9  FOR lisa" xfId="62"/>
    <cellStyle name="_14-Sales_Upshot Rev and Var - 200306-v11" xfId="63"/>
    <cellStyle name="_14-Sales_Upshot Rev and Var - 200306-v11-elva" xfId="64"/>
    <cellStyle name="_14-Sales_Upshot Rev and Var - 200306-v15" xfId="65"/>
    <cellStyle name="_14-Sales_Upshot Rev and Var - 200306-v18" xfId="66"/>
    <cellStyle name="_14-Sales_Upshot Rev and Var - 200306-v6" xfId="67"/>
    <cellStyle name="_14-Sales_Upshot Rev and Var - 200306-v6_bridge 2006 bud w forecast" xfId="68"/>
    <cellStyle name="_14-Sales_Upshot Rev and Var - 200306-v6_Upshot Rev and Var - 200306-v11" xfId="69"/>
    <cellStyle name="_14-Sales_Upshot Rev and Var - 200306-v6_Upshot Rev and Var - 200306-v11-elva" xfId="70"/>
    <cellStyle name="_14-Sales_Upshot Rev and Var - 200306-v6_Upshot Rev and Var - 200306-v15" xfId="71"/>
    <cellStyle name="_14-Sales_Upshot Rev and Var - 200306-v6_Upshot Rev and Var - 200306-v18" xfId="72"/>
    <cellStyle name="_14-Sales_Upshot Rev and Var - 200306-v6_Upshot Rev and Var - 200306-v9  FOR lisa" xfId="73"/>
    <cellStyle name="_14-Sales_Upshot Rev and Var - 200306-v9  FOR lisa" xfId="74"/>
    <cellStyle name="_18-Sales" xfId="75"/>
    <cellStyle name="_18-Sales_AMD pricing version 2" xfId="76"/>
    <cellStyle name="_18-Sales_Asia Budget 06 vs 05 Rev VAR with Asia Based Clients" xfId="77"/>
    <cellStyle name="_18-Sales_Asia Budget 06 vs 05 Rev VAR with Asia Based Clients_bridge 2006 bud w forecast" xfId="78"/>
    <cellStyle name="_18-Sales_Asia Budget 06 vs 05 Rev VAR with Asia Based Clients_upshot Rev and Var - 200306-Revised-v2" xfId="79"/>
    <cellStyle name="_18-Sales_Asia Budget 06 vs 05 Rev VAR with Asia Based Clients_upshot Rev and Var - 200306-Revised-v2_bridge 2006 bud w forecast" xfId="80"/>
    <cellStyle name="_18-Sales_Asia Budget 06 vs 05 Rev VAR with Asia Based Clients_upshot Rev and Var - 200306-Revised-v2_Upshot Rev and Var - 200306-v11" xfId="81"/>
    <cellStyle name="_18-Sales_Asia Budget 06 vs 05 Rev VAR with Asia Based Clients_upshot Rev and Var - 200306-Revised-v2_Upshot Rev and Var - 200306-v11-elva" xfId="82"/>
    <cellStyle name="_18-Sales_Asia Budget 06 vs 05 Rev VAR with Asia Based Clients_upshot Rev and Var - 200306-Revised-v2_Upshot Rev and Var - 200306-v15" xfId="83"/>
    <cellStyle name="_18-Sales_Asia Budget 06 vs 05 Rev VAR with Asia Based Clients_upshot Rev and Var - 200306-Revised-v2_Upshot Rev and Var - 200306-v18" xfId="84"/>
    <cellStyle name="_18-Sales_Asia Budget 06 vs 05 Rev VAR with Asia Based Clients_upshot Rev and Var - 200306-Revised-v2_Upshot Rev and Var - 200306-v9  FOR lisa" xfId="85"/>
    <cellStyle name="_18-Sales_Asia Budget 06 vs 05 Rev VAR with Asia Based Clients_Upshot Rev and Var - 200306-v11" xfId="86"/>
    <cellStyle name="_18-Sales_Asia Budget 06 vs 05 Rev VAR with Asia Based Clients_Upshot Rev and Var - 200306-v11-elva" xfId="87"/>
    <cellStyle name="_18-Sales_Asia Budget 06 vs 05 Rev VAR with Asia Based Clients_Upshot Rev and Var - 200306-v15" xfId="88"/>
    <cellStyle name="_18-Sales_Asia Budget 06 vs 05 Rev VAR with Asia Based Clients_Upshot Rev and Var - 200306-v18" xfId="89"/>
    <cellStyle name="_18-Sales_Asia Budget 06 vs 05 Rev VAR with Asia Based Clients_Upshot Rev and Var - 200306-v6" xfId="90"/>
    <cellStyle name="_18-Sales_Asia Budget 06 vs 05 Rev VAR with Asia Based Clients_Upshot Rev and Var - 200306-v6_bridge 2006 bud w forecast" xfId="91"/>
    <cellStyle name="_18-Sales_Asia Budget 06 vs 05 Rev VAR with Asia Based Clients_Upshot Rev and Var - 200306-v6_Upshot Rev and Var - 200306-v11" xfId="92"/>
    <cellStyle name="_18-Sales_Asia Budget 06 vs 05 Rev VAR with Asia Based Clients_Upshot Rev and Var - 200306-v6_Upshot Rev and Var - 200306-v11-elva" xfId="93"/>
    <cellStyle name="_18-Sales_Asia Budget 06 vs 05 Rev VAR with Asia Based Clients_Upshot Rev and Var - 200306-v6_Upshot Rev and Var - 200306-v15" xfId="94"/>
    <cellStyle name="_18-Sales_Asia Budget 06 vs 05 Rev VAR with Asia Based Clients_Upshot Rev and Var - 200306-v6_Upshot Rev and Var - 200306-v18" xfId="95"/>
    <cellStyle name="_18-Sales_Asia Budget 06 vs 05 Rev VAR with Asia Based Clients_Upshot Rev and Var - 200306-v6_Upshot Rev and Var - 200306-v9  FOR lisa" xfId="96"/>
    <cellStyle name="_18-Sales_Asia Budget 06 vs 05 Rev VAR with Asia Based Clients_Upshot Rev and Var - 200306-v9  FOR lisa" xfId="97"/>
    <cellStyle name="_18-Sales_bridge 2006 bud w forecast" xfId="98"/>
    <cellStyle name="_18-Sales_CAPEX FY2006_KS_0111" xfId="99"/>
    <cellStyle name="_18-Sales_Trial Asia Budget 06 vs 05 Rev VAR with Asia Based Clients" xfId="100"/>
    <cellStyle name="_18-Sales_Trial Asia Budget 06 vs 05 Rev VAR with Asia Based Clients_bridge 2006 bud w forecast" xfId="101"/>
    <cellStyle name="_18-Sales_Trial Asia Budget 06 vs 05 Rev VAR with Asia Based Clients_upshot Rev and Var - 200306-Revised-v2" xfId="102"/>
    <cellStyle name="_18-Sales_Trial Asia Budget 06 vs 05 Rev VAR with Asia Based Clients_upshot Rev and Var - 200306-Revised-v2_bridge 2006 bud w forecast" xfId="103"/>
    <cellStyle name="_18-Sales_Trial Asia Budget 06 vs 05 Rev VAR with Asia Based Clients_upshot Rev and Var - 200306-Revised-v2_Upshot Rev and Var - 200306-v11" xfId="104"/>
    <cellStyle name="_18-Sales_Trial Asia Budget 06 vs 05 Rev VAR with Asia Based Clients_upshot Rev and Var - 200306-Revised-v2_Upshot Rev and Var - 200306-v11-elva" xfId="105"/>
    <cellStyle name="_18-Sales_Trial Asia Budget 06 vs 05 Rev VAR with Asia Based Clients_upshot Rev and Var - 200306-Revised-v2_Upshot Rev and Var - 200306-v15" xfId="106"/>
    <cellStyle name="_18-Sales_Trial Asia Budget 06 vs 05 Rev VAR with Asia Based Clients_upshot Rev and Var - 200306-Revised-v2_Upshot Rev and Var - 200306-v18" xfId="107"/>
    <cellStyle name="_18-Sales_Trial Asia Budget 06 vs 05 Rev VAR with Asia Based Clients_upshot Rev and Var - 200306-Revised-v2_Upshot Rev and Var - 200306-v9  FOR lisa" xfId="108"/>
    <cellStyle name="_18-Sales_Trial Asia Budget 06 vs 05 Rev VAR with Asia Based Clients_Upshot Rev and Var - 200306-v11" xfId="109"/>
    <cellStyle name="_18-Sales_Trial Asia Budget 06 vs 05 Rev VAR with Asia Based Clients_Upshot Rev and Var - 200306-v11-elva" xfId="110"/>
    <cellStyle name="_18-Sales_Trial Asia Budget 06 vs 05 Rev VAR with Asia Based Clients_Upshot Rev and Var - 200306-v15" xfId="111"/>
    <cellStyle name="_18-Sales_Trial Asia Budget 06 vs 05 Rev VAR with Asia Based Clients_Upshot Rev and Var - 200306-v18" xfId="112"/>
    <cellStyle name="_18-Sales_Trial Asia Budget 06 vs 05 Rev VAR with Asia Based Clients_Upshot Rev and Var - 200306-v6" xfId="113"/>
    <cellStyle name="_18-Sales_Trial Asia Budget 06 vs 05 Rev VAR with Asia Based Clients_Upshot Rev and Var - 200306-v6_bridge 2006 bud w forecast" xfId="114"/>
    <cellStyle name="_18-Sales_Trial Asia Budget 06 vs 05 Rev VAR with Asia Based Clients_Upshot Rev and Var - 200306-v6_Upshot Rev and Var - 200306-v11" xfId="115"/>
    <cellStyle name="_18-Sales_Trial Asia Budget 06 vs 05 Rev VAR with Asia Based Clients_Upshot Rev and Var - 200306-v6_Upshot Rev and Var - 200306-v11-elva" xfId="116"/>
    <cellStyle name="_18-Sales_Trial Asia Budget 06 vs 05 Rev VAR with Asia Based Clients_Upshot Rev and Var - 200306-v6_Upshot Rev and Var - 200306-v15" xfId="117"/>
    <cellStyle name="_18-Sales_Trial Asia Budget 06 vs 05 Rev VAR with Asia Based Clients_Upshot Rev and Var - 200306-v6_Upshot Rev and Var - 200306-v18" xfId="118"/>
    <cellStyle name="_18-Sales_Trial Asia Budget 06 vs 05 Rev VAR with Asia Based Clients_Upshot Rev and Var - 200306-v6_Upshot Rev and Var - 200306-v9  FOR lisa" xfId="119"/>
    <cellStyle name="_18-Sales_Trial Asia Budget 06 vs 05 Rev VAR with Asia Based Clients_Upshot Rev and Var - 200306-v9  FOR lisa" xfId="120"/>
    <cellStyle name="_18-Sales_upshot Rev and Var - 200306-Revised-v2" xfId="121"/>
    <cellStyle name="_18-Sales_upshot Rev and Var - 200306-Revised-v2_bridge 2006 bud w forecast" xfId="122"/>
    <cellStyle name="_18-Sales_upshot Rev and Var - 200306-Revised-v2_Upshot Rev and Var - 200306-v11" xfId="123"/>
    <cellStyle name="_18-Sales_upshot Rev and Var - 200306-Revised-v2_Upshot Rev and Var - 200306-v11-elva" xfId="124"/>
    <cellStyle name="_18-Sales_upshot Rev and Var - 200306-Revised-v2_Upshot Rev and Var - 200306-v15" xfId="125"/>
    <cellStyle name="_18-Sales_upshot Rev and Var - 200306-Revised-v2_Upshot Rev and Var - 200306-v18" xfId="126"/>
    <cellStyle name="_18-Sales_upshot Rev and Var - 200306-Revised-v2_Upshot Rev and Var - 200306-v9  FOR lisa" xfId="127"/>
    <cellStyle name="_18-Sales_Upshot Rev and Var - 200306-v11" xfId="128"/>
    <cellStyle name="_18-Sales_Upshot Rev and Var - 200306-v11-elva" xfId="129"/>
    <cellStyle name="_18-Sales_Upshot Rev and Var - 200306-v15" xfId="130"/>
    <cellStyle name="_18-Sales_Upshot Rev and Var - 200306-v18" xfId="131"/>
    <cellStyle name="_18-Sales_Upshot Rev and Var - 200306-v6" xfId="132"/>
    <cellStyle name="_18-Sales_Upshot Rev and Var - 200306-v6_bridge 2006 bud w forecast" xfId="133"/>
    <cellStyle name="_18-Sales_Upshot Rev and Var - 200306-v6_Upshot Rev and Var - 200306-v11" xfId="134"/>
    <cellStyle name="_18-Sales_Upshot Rev and Var - 200306-v6_Upshot Rev and Var - 200306-v11-elva" xfId="135"/>
    <cellStyle name="_18-Sales_Upshot Rev and Var - 200306-v6_Upshot Rev and Var - 200306-v15" xfId="136"/>
    <cellStyle name="_18-Sales_Upshot Rev and Var - 200306-v6_Upshot Rev and Var - 200306-v18" xfId="137"/>
    <cellStyle name="_18-Sales_Upshot Rev and Var - 200306-v6_Upshot Rev and Var - 200306-v9  FOR lisa" xfId="138"/>
    <cellStyle name="_18-Sales_Upshot Rev and Var - 200306-v9  FOR lisa" xfId="139"/>
    <cellStyle name="_2008 Meeting Actions 020408v1" xfId="140"/>
    <cellStyle name="_6-20-2003 SC JulyQBR Final slide template-Taipei_Plant" xfId="141"/>
    <cellStyle name="_6-20-2003 SC JulyQBR Final slide template-Taipei_Plant_AMD pricing version 2" xfId="142"/>
    <cellStyle name="_6-20-2003 SC JulyQBR Final slide template-Taipei_Plant_Asia Budget 06 vs 05 Rev VAR with Asia Based Clients" xfId="143"/>
    <cellStyle name="_6-20-2003 SC JulyQBR Final slide template-Taipei_Plant_Asia Budget 06 vs 05 Rev VAR with Asia Based Clients_bridge 2006 bud w forecast" xfId="144"/>
    <cellStyle name="_6-20-2003 SC JulyQBR Final slide template-Taipei_Plant_Asia Budget 06 vs 05 Rev VAR with Asia Based Clients_upshot Rev and Var - 200306-Revised-v2" xfId="145"/>
    <cellStyle name="_6-20-2003 SC JulyQBR Final slide template-Taipei_Plant_Asia Budget 06 vs 05 Rev VAR with Asia Based Clients_upshot Rev and Var - 200306-Revised-v2_bridge 2006 bud w forecast" xfId="146"/>
    <cellStyle name="_6-20-2003 SC JulyQBR Final slide template-Taipei_Plant_Asia Budget 06 vs 05 Rev VAR with Asia Based Clients_upshot Rev and Var - 200306-Revised-v2_Upshot Rev and Var - 200306-v11" xfId="147"/>
    <cellStyle name="_6-20-2003 SC JulyQBR Final slide template-Taipei_Plant_Asia Budget 06 vs 05 Rev VAR with Asia Based Clients_upshot Rev and Var - 200306-Revised-v2_Upshot Rev and Var - 200306-v11-elva" xfId="148"/>
    <cellStyle name="_6-20-2003 SC JulyQBR Final slide template-Taipei_Plant_Asia Budget 06 vs 05 Rev VAR with Asia Based Clients_upshot Rev and Var - 200306-Revised-v2_Upshot Rev and Var - 200306-v15" xfId="149"/>
    <cellStyle name="_6-20-2003 SC JulyQBR Final slide template-Taipei_Plant_Asia Budget 06 vs 05 Rev VAR with Asia Based Clients_upshot Rev and Var - 200306-Revised-v2_Upshot Rev and Var - 200306-v18" xfId="150"/>
    <cellStyle name="_6-20-2003 SC JulyQBR Final slide template-Taipei_Plant_Asia Budget 06 vs 05 Rev VAR with Asia Based Clients_upshot Rev and Var - 200306-Revised-v2_Upshot Rev and Var - 200306-v9  FOR lisa" xfId="151"/>
    <cellStyle name="_6-20-2003 SC JulyQBR Final slide template-Taipei_Plant_Asia Budget 06 vs 05 Rev VAR with Asia Based Clients_Upshot Rev and Var - 200306-v11" xfId="152"/>
    <cellStyle name="_6-20-2003 SC JulyQBR Final slide template-Taipei_Plant_Asia Budget 06 vs 05 Rev VAR with Asia Based Clients_Upshot Rev and Var - 200306-v11-elva" xfId="153"/>
    <cellStyle name="_6-20-2003 SC JulyQBR Final slide template-Taipei_Plant_Asia Budget 06 vs 05 Rev VAR with Asia Based Clients_Upshot Rev and Var - 200306-v15" xfId="154"/>
    <cellStyle name="_6-20-2003 SC JulyQBR Final slide template-Taipei_Plant_Asia Budget 06 vs 05 Rev VAR with Asia Based Clients_Upshot Rev and Var - 200306-v18" xfId="155"/>
    <cellStyle name="_6-20-2003 SC JulyQBR Final slide template-Taipei_Plant_Asia Budget 06 vs 05 Rev VAR with Asia Based Clients_Upshot Rev and Var - 200306-v6" xfId="156"/>
    <cellStyle name="_6-20-2003 SC JulyQBR Final slide template-Taipei_Plant_Asia Budget 06 vs 05 Rev VAR with Asia Based Clients_Upshot Rev and Var - 200306-v6_bridge 2006 bud w forecast" xfId="157"/>
    <cellStyle name="_6-20-2003 SC JulyQBR Final slide template-Taipei_Plant_Asia Budget 06 vs 05 Rev VAR with Asia Based Clients_Upshot Rev and Var - 200306-v6_Upshot Rev and Var - 200306-v11" xfId="158"/>
    <cellStyle name="_6-20-2003 SC JulyQBR Final slide template-Taipei_Plant_Asia Budget 06 vs 05 Rev VAR with Asia Based Clients_Upshot Rev and Var - 200306-v6_Upshot Rev and Var - 200306-v11-elva" xfId="159"/>
    <cellStyle name="_6-20-2003 SC JulyQBR Final slide template-Taipei_Plant_Asia Budget 06 vs 05 Rev VAR with Asia Based Clients_Upshot Rev and Var - 200306-v6_Upshot Rev and Var - 200306-v15" xfId="160"/>
    <cellStyle name="_6-20-2003 SC JulyQBR Final slide template-Taipei_Plant_Asia Budget 06 vs 05 Rev VAR with Asia Based Clients_Upshot Rev and Var - 200306-v6_Upshot Rev and Var - 200306-v18" xfId="161"/>
    <cellStyle name="_6-20-2003 SC JulyQBR Final slide template-Taipei_Plant_Asia Budget 06 vs 05 Rev VAR with Asia Based Clients_Upshot Rev and Var - 200306-v6_Upshot Rev and Var - 200306-v9  FOR lisa" xfId="162"/>
    <cellStyle name="_6-20-2003 SC JulyQBR Final slide template-Taipei_Plant_Asia Budget 06 vs 05 Rev VAR with Asia Based Clients_Upshot Rev and Var - 200306-v9  FOR lisa" xfId="163"/>
    <cellStyle name="_6-20-2003 SC JulyQBR Final slide template-Taipei_Plant_bridge 2006 bud w forecast" xfId="164"/>
    <cellStyle name="_6-20-2003 SC JulyQBR Final slide template-Taipei_Plant_CAPEX FY2006_KS_0111" xfId="165"/>
    <cellStyle name="_6-20-2003 SC JulyQBR Final slide template-Taipei_Plant_Trial Asia Budget 06 vs 05 Rev VAR with Asia Based Clients" xfId="166"/>
    <cellStyle name="_6-20-2003 SC JulyQBR Final slide template-Taipei_Plant_Trial Asia Budget 06 vs 05 Rev VAR with Asia Based Clients_bridge 2006 bud w forecast" xfId="167"/>
    <cellStyle name="_6-20-2003 SC JulyQBR Final slide template-Taipei_Plant_Trial Asia Budget 06 vs 05 Rev VAR with Asia Based Clients_upshot Rev and Var - 200306-Revised-v2" xfId="168"/>
    <cellStyle name="_6-20-2003 SC JulyQBR Final slide template-Taipei_Plant_Trial Asia Budget 06 vs 05 Rev VAR with Asia Based Clients_upshot Rev and Var - 200306-Revised-v2_bridge 2006 bud w forecast" xfId="169"/>
    <cellStyle name="_6-20-2003 SC JulyQBR Final slide template-Taipei_Plant_Trial Asia Budget 06 vs 05 Rev VAR with Asia Based Clients_upshot Rev and Var - 200306-Revised-v2_Upshot Rev and Var - 200306-v11" xfId="170"/>
    <cellStyle name="_6-20-2003 SC JulyQBR Final slide template-Taipei_Plant_Trial Asia Budget 06 vs 05 Rev VAR with Asia Based Clients_upshot Rev and Var - 200306-Revised-v2_Upshot Rev and Var - 200306-v11-elva" xfId="171"/>
    <cellStyle name="_6-20-2003 SC JulyQBR Final slide template-Taipei_Plant_Trial Asia Budget 06 vs 05 Rev VAR with Asia Based Clients_upshot Rev and Var - 200306-Revised-v2_Upshot Rev and Var - 200306-v15" xfId="172"/>
    <cellStyle name="_6-20-2003 SC JulyQBR Final slide template-Taipei_Plant_Trial Asia Budget 06 vs 05 Rev VAR with Asia Based Clients_upshot Rev and Var - 200306-Revised-v2_Upshot Rev and Var - 200306-v18" xfId="173"/>
    <cellStyle name="_6-20-2003 SC JulyQBR Final slide template-Taipei_Plant_Trial Asia Budget 06 vs 05 Rev VAR with Asia Based Clients_upshot Rev and Var - 200306-Revised-v2_Upshot Rev and Var - 200306-v9  FOR lisa" xfId="174"/>
    <cellStyle name="_6-20-2003 SC JulyQBR Final slide template-Taipei_Plant_Trial Asia Budget 06 vs 05 Rev VAR with Asia Based Clients_Upshot Rev and Var - 200306-v11" xfId="175"/>
    <cellStyle name="_6-20-2003 SC JulyQBR Final slide template-Taipei_Plant_Trial Asia Budget 06 vs 05 Rev VAR with Asia Based Clients_Upshot Rev and Var - 200306-v11-elva" xfId="176"/>
    <cellStyle name="_6-20-2003 SC JulyQBR Final slide template-Taipei_Plant_Trial Asia Budget 06 vs 05 Rev VAR with Asia Based Clients_Upshot Rev and Var - 200306-v15" xfId="177"/>
    <cellStyle name="_6-20-2003 SC JulyQBR Final slide template-Taipei_Plant_Trial Asia Budget 06 vs 05 Rev VAR with Asia Based Clients_Upshot Rev and Var - 200306-v18" xfId="178"/>
    <cellStyle name="_6-20-2003 SC JulyQBR Final slide template-Taipei_Plant_Trial Asia Budget 06 vs 05 Rev VAR with Asia Based Clients_Upshot Rev and Var - 200306-v6" xfId="179"/>
    <cellStyle name="_6-20-2003 SC JulyQBR Final slide template-Taipei_Plant_Trial Asia Budget 06 vs 05 Rev VAR with Asia Based Clients_Upshot Rev and Var - 200306-v6_bridge 2006 bud w forecast" xfId="180"/>
    <cellStyle name="_6-20-2003 SC JulyQBR Final slide template-Taipei_Plant_Trial Asia Budget 06 vs 05 Rev VAR with Asia Based Clients_Upshot Rev and Var - 200306-v6_Upshot Rev and Var - 200306-v11" xfId="181"/>
    <cellStyle name="_6-20-2003 SC JulyQBR Final slide template-Taipei_Plant_Trial Asia Budget 06 vs 05 Rev VAR with Asia Based Clients_Upshot Rev and Var - 200306-v6_Upshot Rev and Var - 200306-v11-elva" xfId="182"/>
    <cellStyle name="_6-20-2003 SC JulyQBR Final slide template-Taipei_Plant_Trial Asia Budget 06 vs 05 Rev VAR with Asia Based Clients_Upshot Rev and Var - 200306-v6_Upshot Rev and Var - 200306-v15" xfId="183"/>
    <cellStyle name="_6-20-2003 SC JulyQBR Final slide template-Taipei_Plant_Trial Asia Budget 06 vs 05 Rev VAR with Asia Based Clients_Upshot Rev and Var - 200306-v6_Upshot Rev and Var - 200306-v18" xfId="184"/>
    <cellStyle name="_6-20-2003 SC JulyQBR Final slide template-Taipei_Plant_Trial Asia Budget 06 vs 05 Rev VAR with Asia Based Clients_Upshot Rev and Var - 200306-v6_Upshot Rev and Var - 200306-v9  FOR lisa" xfId="185"/>
    <cellStyle name="_6-20-2003 SC JulyQBR Final slide template-Taipei_Plant_Trial Asia Budget 06 vs 05 Rev VAR with Asia Based Clients_Upshot Rev and Var - 200306-v9  FOR lisa" xfId="186"/>
    <cellStyle name="_6-20-2003 SC JulyQBR Final slide template-Taipei_Plant_upshot Rev and Var - 200306-Revised-v2" xfId="187"/>
    <cellStyle name="_6-20-2003 SC JulyQBR Final slide template-Taipei_Plant_upshot Rev and Var - 200306-Revised-v2_bridge 2006 bud w forecast" xfId="188"/>
    <cellStyle name="_6-20-2003 SC JulyQBR Final slide template-Taipei_Plant_upshot Rev and Var - 200306-Revised-v2_Upshot Rev and Var - 200306-v11" xfId="189"/>
    <cellStyle name="_6-20-2003 SC JulyQBR Final slide template-Taipei_Plant_upshot Rev and Var - 200306-Revised-v2_Upshot Rev and Var - 200306-v11-elva" xfId="190"/>
    <cellStyle name="_6-20-2003 SC JulyQBR Final slide template-Taipei_Plant_upshot Rev and Var - 200306-Revised-v2_Upshot Rev and Var - 200306-v15" xfId="191"/>
    <cellStyle name="_6-20-2003 SC JulyQBR Final slide template-Taipei_Plant_upshot Rev and Var - 200306-Revised-v2_Upshot Rev and Var - 200306-v18" xfId="192"/>
    <cellStyle name="_6-20-2003 SC JulyQBR Final slide template-Taipei_Plant_upshot Rev and Var - 200306-Revised-v2_Upshot Rev and Var - 200306-v9  FOR lisa" xfId="193"/>
    <cellStyle name="_6-20-2003 SC JulyQBR Final slide template-Taipei_Plant_Upshot Rev and Var - 200306-v11" xfId="194"/>
    <cellStyle name="_6-20-2003 SC JulyQBR Final slide template-Taipei_Plant_Upshot Rev and Var - 200306-v11-elva" xfId="195"/>
    <cellStyle name="_6-20-2003 SC JulyQBR Final slide template-Taipei_Plant_Upshot Rev and Var - 200306-v15" xfId="196"/>
    <cellStyle name="_6-20-2003 SC JulyQBR Final slide template-Taipei_Plant_Upshot Rev and Var - 200306-v18" xfId="197"/>
    <cellStyle name="_6-20-2003 SC JulyQBR Final slide template-Taipei_Plant_Upshot Rev and Var - 200306-v6" xfId="198"/>
    <cellStyle name="_6-20-2003 SC JulyQBR Final slide template-Taipei_Plant_Upshot Rev and Var - 200306-v6_bridge 2006 bud w forecast" xfId="199"/>
    <cellStyle name="_6-20-2003 SC JulyQBR Final slide template-Taipei_Plant_Upshot Rev and Var - 200306-v6_Upshot Rev and Var - 200306-v11" xfId="200"/>
    <cellStyle name="_6-20-2003 SC JulyQBR Final slide template-Taipei_Plant_Upshot Rev and Var - 200306-v6_Upshot Rev and Var - 200306-v11-elva" xfId="201"/>
    <cellStyle name="_6-20-2003 SC JulyQBR Final slide template-Taipei_Plant_Upshot Rev and Var - 200306-v6_Upshot Rev and Var - 200306-v15" xfId="202"/>
    <cellStyle name="_6-20-2003 SC JulyQBR Final slide template-Taipei_Plant_Upshot Rev and Var - 200306-v6_Upshot Rev and Var - 200306-v18" xfId="203"/>
    <cellStyle name="_6-20-2003 SC JulyQBR Final slide template-Taipei_Plant_Upshot Rev and Var - 200306-v6_Upshot Rev and Var - 200306-v9  FOR lisa" xfId="204"/>
    <cellStyle name="_6-20-2003 SC JulyQBR Final slide template-Taipei_Plant_Upshot Rev and Var - 200306-v9  FOR lisa" xfId="205"/>
    <cellStyle name="_AMD - PIB assembly-v2" xfId="206"/>
    <cellStyle name="_April QBR Slides--SZ@25th Mar'03" xfId="207"/>
    <cellStyle name="_April QBR Slides--SZ@25th Mar'03_AMD pricing version 2" xfId="208"/>
    <cellStyle name="_April QBR Slides--SZ@25th Mar'03_Asia Budget 06 vs 05 Rev VAR with Asia Based Clients" xfId="209"/>
    <cellStyle name="_April QBR Slides--SZ@25th Mar'03_Asia Budget 06 vs 05 Rev VAR with Asia Based Clients_bridge 2006 bud w forecast" xfId="210"/>
    <cellStyle name="_April QBR Slides--SZ@25th Mar'03_Asia Budget 06 vs 05 Rev VAR with Asia Based Clients_upshot Rev and Var - 200306-Revised-v2" xfId="211"/>
    <cellStyle name="_April QBR Slides--SZ@25th Mar'03_Asia Budget 06 vs 05 Rev VAR with Asia Based Clients_upshot Rev and Var - 200306-Revised-v2_bridge 2006 bud w forecast" xfId="212"/>
    <cellStyle name="_April QBR Slides--SZ@25th Mar'03_Asia Budget 06 vs 05 Rev VAR with Asia Based Clients_upshot Rev and Var - 200306-Revised-v2_Upshot Rev and Var - 200306-v11" xfId="213"/>
    <cellStyle name="_April QBR Slides--SZ@25th Mar'03_Asia Budget 06 vs 05 Rev VAR with Asia Based Clients_upshot Rev and Var - 200306-Revised-v2_Upshot Rev and Var - 200306-v11-elva" xfId="214"/>
    <cellStyle name="_April QBR Slides--SZ@25th Mar'03_Asia Budget 06 vs 05 Rev VAR with Asia Based Clients_upshot Rev and Var - 200306-Revised-v2_Upshot Rev and Var - 200306-v15" xfId="215"/>
    <cellStyle name="_April QBR Slides--SZ@25th Mar'03_Asia Budget 06 vs 05 Rev VAR with Asia Based Clients_upshot Rev and Var - 200306-Revised-v2_Upshot Rev and Var - 200306-v18" xfId="216"/>
    <cellStyle name="_April QBR Slides--SZ@25th Mar'03_Asia Budget 06 vs 05 Rev VAR with Asia Based Clients_upshot Rev and Var - 200306-Revised-v2_Upshot Rev and Var - 200306-v9  FOR lisa" xfId="217"/>
    <cellStyle name="_April QBR Slides--SZ@25th Mar'03_Asia Budget 06 vs 05 Rev VAR with Asia Based Clients_Upshot Rev and Var - 200306-v11" xfId="218"/>
    <cellStyle name="_April QBR Slides--SZ@25th Mar'03_Asia Budget 06 vs 05 Rev VAR with Asia Based Clients_Upshot Rev and Var - 200306-v11-elva" xfId="219"/>
    <cellStyle name="_April QBR Slides--SZ@25th Mar'03_Asia Budget 06 vs 05 Rev VAR with Asia Based Clients_Upshot Rev and Var - 200306-v15" xfId="220"/>
    <cellStyle name="_April QBR Slides--SZ@25th Mar'03_Asia Budget 06 vs 05 Rev VAR with Asia Based Clients_Upshot Rev and Var - 200306-v18" xfId="221"/>
    <cellStyle name="_April QBR Slides--SZ@25th Mar'03_Asia Budget 06 vs 05 Rev VAR with Asia Based Clients_Upshot Rev and Var - 200306-v6" xfId="222"/>
    <cellStyle name="_April QBR Slides--SZ@25th Mar'03_Asia Budget 06 vs 05 Rev VAR with Asia Based Clients_Upshot Rev and Var - 200306-v6_bridge 2006 bud w forecast" xfId="223"/>
    <cellStyle name="_April QBR Slides--SZ@25th Mar'03_Asia Budget 06 vs 05 Rev VAR with Asia Based Clients_Upshot Rev and Var - 200306-v6_Upshot Rev and Var - 200306-v11" xfId="224"/>
    <cellStyle name="_April QBR Slides--SZ@25th Mar'03_Asia Budget 06 vs 05 Rev VAR with Asia Based Clients_Upshot Rev and Var - 200306-v6_Upshot Rev and Var - 200306-v11-elva" xfId="225"/>
    <cellStyle name="_April QBR Slides--SZ@25th Mar'03_Asia Budget 06 vs 05 Rev VAR with Asia Based Clients_Upshot Rev and Var - 200306-v6_Upshot Rev and Var - 200306-v15" xfId="226"/>
    <cellStyle name="_April QBR Slides--SZ@25th Mar'03_Asia Budget 06 vs 05 Rev VAR with Asia Based Clients_Upshot Rev and Var - 200306-v6_Upshot Rev and Var - 200306-v18" xfId="227"/>
    <cellStyle name="_April QBR Slides--SZ@25th Mar'03_Asia Budget 06 vs 05 Rev VAR with Asia Based Clients_Upshot Rev and Var - 200306-v6_Upshot Rev and Var - 200306-v9  FOR lisa" xfId="228"/>
    <cellStyle name="_April QBR Slides--SZ@25th Mar'03_Asia Budget 06 vs 05 Rev VAR with Asia Based Clients_Upshot Rev and Var - 200306-v9  FOR lisa" xfId="229"/>
    <cellStyle name="_April QBR Slides--SZ@25th Mar'03_bridge 2006 bud w forecast" xfId="230"/>
    <cellStyle name="_April QBR Slides--SZ@25th Mar'03_CAPEX FY2006_KS_0111" xfId="231"/>
    <cellStyle name="_April QBR Slides--SZ@25th Mar'03_Trial Asia Budget 06 vs 05 Rev VAR with Asia Based Clients" xfId="232"/>
    <cellStyle name="_April QBR Slides--SZ@25th Mar'03_Trial Asia Budget 06 vs 05 Rev VAR with Asia Based Clients_bridge 2006 bud w forecast" xfId="233"/>
    <cellStyle name="_April QBR Slides--SZ@25th Mar'03_Trial Asia Budget 06 vs 05 Rev VAR with Asia Based Clients_upshot Rev and Var - 200306-Revised-v2" xfId="234"/>
    <cellStyle name="_April QBR Slides--SZ@25th Mar'03_Trial Asia Budget 06 vs 05 Rev VAR with Asia Based Clients_upshot Rev and Var - 200306-Revised-v2_bridge 2006 bud w forecast" xfId="235"/>
    <cellStyle name="_April QBR Slides--SZ@25th Mar'03_Trial Asia Budget 06 vs 05 Rev VAR with Asia Based Clients_upshot Rev and Var - 200306-Revised-v2_Upshot Rev and Var - 200306-v11" xfId="236"/>
    <cellStyle name="_April QBR Slides--SZ@25th Mar'03_Trial Asia Budget 06 vs 05 Rev VAR with Asia Based Clients_upshot Rev and Var - 200306-Revised-v2_Upshot Rev and Var - 200306-v11-elva" xfId="237"/>
    <cellStyle name="_April QBR Slides--SZ@25th Mar'03_Trial Asia Budget 06 vs 05 Rev VAR with Asia Based Clients_upshot Rev and Var - 200306-Revised-v2_Upshot Rev and Var - 200306-v15" xfId="238"/>
    <cellStyle name="_April QBR Slides--SZ@25th Mar'03_Trial Asia Budget 06 vs 05 Rev VAR with Asia Based Clients_upshot Rev and Var - 200306-Revised-v2_Upshot Rev and Var - 200306-v18" xfId="239"/>
    <cellStyle name="_April QBR Slides--SZ@25th Mar'03_Trial Asia Budget 06 vs 05 Rev VAR with Asia Based Clients_upshot Rev and Var - 200306-Revised-v2_Upshot Rev and Var - 200306-v9  FOR lisa" xfId="240"/>
    <cellStyle name="_April QBR Slides--SZ@25th Mar'03_Trial Asia Budget 06 vs 05 Rev VAR with Asia Based Clients_Upshot Rev and Var - 200306-v11" xfId="241"/>
    <cellStyle name="_April QBR Slides--SZ@25th Mar'03_Trial Asia Budget 06 vs 05 Rev VAR with Asia Based Clients_Upshot Rev and Var - 200306-v11-elva" xfId="242"/>
    <cellStyle name="_April QBR Slides--SZ@25th Mar'03_Trial Asia Budget 06 vs 05 Rev VAR with Asia Based Clients_Upshot Rev and Var - 200306-v15" xfId="243"/>
    <cellStyle name="_April QBR Slides--SZ@25th Mar'03_Trial Asia Budget 06 vs 05 Rev VAR with Asia Based Clients_Upshot Rev and Var - 200306-v18" xfId="244"/>
    <cellStyle name="_April QBR Slides--SZ@25th Mar'03_Trial Asia Budget 06 vs 05 Rev VAR with Asia Based Clients_Upshot Rev and Var - 200306-v6" xfId="245"/>
    <cellStyle name="_April QBR Slides--SZ@25th Mar'03_Trial Asia Budget 06 vs 05 Rev VAR with Asia Based Clients_Upshot Rev and Var - 200306-v6_bridge 2006 bud w forecast" xfId="246"/>
    <cellStyle name="_April QBR Slides--SZ@25th Mar'03_Trial Asia Budget 06 vs 05 Rev VAR with Asia Based Clients_Upshot Rev and Var - 200306-v6_Upshot Rev and Var - 200306-v11" xfId="247"/>
    <cellStyle name="_April QBR Slides--SZ@25th Mar'03_Trial Asia Budget 06 vs 05 Rev VAR with Asia Based Clients_Upshot Rev and Var - 200306-v6_Upshot Rev and Var - 200306-v11-elva" xfId="248"/>
    <cellStyle name="_April QBR Slides--SZ@25th Mar'03_Trial Asia Budget 06 vs 05 Rev VAR with Asia Based Clients_Upshot Rev and Var - 200306-v6_Upshot Rev and Var - 200306-v15" xfId="249"/>
    <cellStyle name="_April QBR Slides--SZ@25th Mar'03_Trial Asia Budget 06 vs 05 Rev VAR with Asia Based Clients_Upshot Rev and Var - 200306-v6_Upshot Rev and Var - 200306-v18" xfId="250"/>
    <cellStyle name="_April QBR Slides--SZ@25th Mar'03_Trial Asia Budget 06 vs 05 Rev VAR with Asia Based Clients_Upshot Rev and Var - 200306-v6_Upshot Rev and Var - 200306-v9  FOR lisa" xfId="251"/>
    <cellStyle name="_April QBR Slides--SZ@25th Mar'03_Trial Asia Budget 06 vs 05 Rev VAR with Asia Based Clients_Upshot Rev and Var - 200306-v9  FOR lisa" xfId="252"/>
    <cellStyle name="_April QBR Slides--SZ@25th Mar'03_upshot Rev and Var - 200306-Revised-v2" xfId="253"/>
    <cellStyle name="_April QBR Slides--SZ@25th Mar'03_upshot Rev and Var - 200306-Revised-v2_bridge 2006 bud w forecast" xfId="254"/>
    <cellStyle name="_April QBR Slides--SZ@25th Mar'03_upshot Rev and Var - 200306-Revised-v2_Upshot Rev and Var - 200306-v11" xfId="255"/>
    <cellStyle name="_April QBR Slides--SZ@25th Mar'03_upshot Rev and Var - 200306-Revised-v2_Upshot Rev and Var - 200306-v11-elva" xfId="256"/>
    <cellStyle name="_April QBR Slides--SZ@25th Mar'03_upshot Rev and Var - 200306-Revised-v2_Upshot Rev and Var - 200306-v15" xfId="257"/>
    <cellStyle name="_April QBR Slides--SZ@25th Mar'03_upshot Rev and Var - 200306-Revised-v2_Upshot Rev and Var - 200306-v18" xfId="258"/>
    <cellStyle name="_April QBR Slides--SZ@25th Mar'03_upshot Rev and Var - 200306-Revised-v2_Upshot Rev and Var - 200306-v9  FOR lisa" xfId="259"/>
    <cellStyle name="_April QBR Slides--SZ@25th Mar'03_Upshot Rev and Var - 200306-v11" xfId="260"/>
    <cellStyle name="_April QBR Slides--SZ@25th Mar'03_Upshot Rev and Var - 200306-v11-elva" xfId="261"/>
    <cellStyle name="_April QBR Slides--SZ@25th Mar'03_Upshot Rev and Var - 200306-v15" xfId="262"/>
    <cellStyle name="_April QBR Slides--SZ@25th Mar'03_Upshot Rev and Var - 200306-v18" xfId="263"/>
    <cellStyle name="_April QBR Slides--SZ@25th Mar'03_Upshot Rev and Var - 200306-v6" xfId="264"/>
    <cellStyle name="_April QBR Slides--SZ@25th Mar'03_Upshot Rev and Var - 200306-v6_bridge 2006 bud w forecast" xfId="265"/>
    <cellStyle name="_April QBR Slides--SZ@25th Mar'03_Upshot Rev and Var - 200306-v6_Upshot Rev and Var - 200306-v11" xfId="266"/>
    <cellStyle name="_April QBR Slides--SZ@25th Mar'03_Upshot Rev and Var - 200306-v6_Upshot Rev and Var - 200306-v11-elva" xfId="267"/>
    <cellStyle name="_April QBR Slides--SZ@25th Mar'03_Upshot Rev and Var - 200306-v6_Upshot Rev and Var - 200306-v15" xfId="268"/>
    <cellStyle name="_April QBR Slides--SZ@25th Mar'03_Upshot Rev and Var - 200306-v6_Upshot Rev and Var - 200306-v18" xfId="269"/>
    <cellStyle name="_April QBR Slides--SZ@25th Mar'03_Upshot Rev and Var - 200306-v6_Upshot Rev and Var - 200306-v9  FOR lisa" xfId="270"/>
    <cellStyle name="_April QBR Slides--SZ@25th Mar'03_Upshot Rev and Var - 200306-v9  FOR lisa" xfId="271"/>
    <cellStyle name="_Asia Budget 06 vs. Outlook 06" xfId="272"/>
    <cellStyle name="_Asia Budget 06 vs. Outlook 06_1" xfId="273"/>
    <cellStyle name="_Asia Budget 07 vs. Outlook 06_9 May" xfId="274"/>
    <cellStyle name="_Asia Function Headcount" xfId="275"/>
    <cellStyle name="_Asia_QbrSlides_Cust Health_22April" xfId="276"/>
    <cellStyle name="_Asia_QbrSlides_Cust Health_22April_AMD pricing version 2" xfId="277"/>
    <cellStyle name="_Asia_QbrSlides_Cust Health_22April_Asia Budget 06 vs 05 Rev VAR with Asia Based Clients" xfId="278"/>
    <cellStyle name="_Asia_QbrSlides_Cust Health_22April_Asia Budget 06 vs 05 Rev VAR with Asia Based Clients_bridge 2006 bud w forecast" xfId="279"/>
    <cellStyle name="_Asia_QbrSlides_Cust Health_22April_Asia Budget 06 vs 05 Rev VAR with Asia Based Clients_upshot Rev and Var - 200306-Revised-v2" xfId="280"/>
    <cellStyle name="_Asia_QbrSlides_Cust Health_22April_Asia Budget 06 vs 05 Rev VAR with Asia Based Clients_upshot Rev and Var - 200306-Revised-v2_bridge 2006 bud w forecast" xfId="281"/>
    <cellStyle name="_Asia_QbrSlides_Cust Health_22April_Asia Budget 06 vs 05 Rev VAR with Asia Based Clients_upshot Rev and Var - 200306-Revised-v2_Upshot Rev and Var - 200306-v11" xfId="282"/>
    <cellStyle name="_Asia_QbrSlides_Cust Health_22April_Asia Budget 06 vs 05 Rev VAR with Asia Based Clients_upshot Rev and Var - 200306-Revised-v2_Upshot Rev and Var - 200306-v11-elva" xfId="283"/>
    <cellStyle name="_Asia_QbrSlides_Cust Health_22April_Asia Budget 06 vs 05 Rev VAR with Asia Based Clients_upshot Rev and Var - 200306-Revised-v2_Upshot Rev and Var - 200306-v15" xfId="284"/>
    <cellStyle name="_Asia_QbrSlides_Cust Health_22April_Asia Budget 06 vs 05 Rev VAR with Asia Based Clients_upshot Rev and Var - 200306-Revised-v2_Upshot Rev and Var - 200306-v18" xfId="285"/>
    <cellStyle name="_Asia_QbrSlides_Cust Health_22April_Asia Budget 06 vs 05 Rev VAR with Asia Based Clients_upshot Rev and Var - 200306-Revised-v2_Upshot Rev and Var - 200306-v9  FOR lisa" xfId="286"/>
    <cellStyle name="_Asia_QbrSlides_Cust Health_22April_Asia Budget 06 vs 05 Rev VAR with Asia Based Clients_Upshot Rev and Var - 200306-v11" xfId="287"/>
    <cellStyle name="_Asia_QbrSlides_Cust Health_22April_Asia Budget 06 vs 05 Rev VAR with Asia Based Clients_Upshot Rev and Var - 200306-v11-elva" xfId="288"/>
    <cellStyle name="_Asia_QbrSlides_Cust Health_22April_Asia Budget 06 vs 05 Rev VAR with Asia Based Clients_Upshot Rev and Var - 200306-v15" xfId="289"/>
    <cellStyle name="_Asia_QbrSlides_Cust Health_22April_Asia Budget 06 vs 05 Rev VAR with Asia Based Clients_Upshot Rev and Var - 200306-v18" xfId="290"/>
    <cellStyle name="_Asia_QbrSlides_Cust Health_22April_Asia Budget 06 vs 05 Rev VAR with Asia Based Clients_Upshot Rev and Var - 200306-v6" xfId="291"/>
    <cellStyle name="_Asia_QbrSlides_Cust Health_22April_Asia Budget 06 vs 05 Rev VAR with Asia Based Clients_Upshot Rev and Var - 200306-v6_bridge 2006 bud w forecast" xfId="292"/>
    <cellStyle name="_Asia_QbrSlides_Cust Health_22April_Asia Budget 06 vs 05 Rev VAR with Asia Based Clients_Upshot Rev and Var - 200306-v6_Upshot Rev and Var - 200306-v11" xfId="293"/>
    <cellStyle name="_Asia_QbrSlides_Cust Health_22April_Asia Budget 06 vs 05 Rev VAR with Asia Based Clients_Upshot Rev and Var - 200306-v6_Upshot Rev and Var - 200306-v11-elva" xfId="294"/>
    <cellStyle name="_Asia_QbrSlides_Cust Health_22April_Asia Budget 06 vs 05 Rev VAR with Asia Based Clients_Upshot Rev and Var - 200306-v6_Upshot Rev and Var - 200306-v15" xfId="295"/>
    <cellStyle name="_Asia_QbrSlides_Cust Health_22April_Asia Budget 06 vs 05 Rev VAR with Asia Based Clients_Upshot Rev and Var - 200306-v6_Upshot Rev and Var - 200306-v18" xfId="296"/>
    <cellStyle name="_Asia_QbrSlides_Cust Health_22April_Asia Budget 06 vs 05 Rev VAR with Asia Based Clients_Upshot Rev and Var - 200306-v6_Upshot Rev and Var - 200306-v9  FOR lisa" xfId="297"/>
    <cellStyle name="_Asia_QbrSlides_Cust Health_22April_Asia Budget 06 vs 05 Rev VAR with Asia Based Clients_Upshot Rev and Var - 200306-v9  FOR lisa" xfId="298"/>
    <cellStyle name="_Asia_QbrSlides_Cust Health_22April_bridge 2006 bud w forecast" xfId="299"/>
    <cellStyle name="_Asia_QbrSlides_Cust Health_22April_CAPEX FY2006_KS_0111" xfId="300"/>
    <cellStyle name="_Asia_QbrSlides_Cust Health_22April_SC JulyQBR Final slide --SZ FT@23rd June'03" xfId="301"/>
    <cellStyle name="_Asia_QbrSlides_Cust Health_22April_SC JulyQBR Final slide --SZ FT@23rd June'03_AMD pricing version 2" xfId="302"/>
    <cellStyle name="_Asia_QbrSlides_Cust Health_22April_SC JulyQBR Final slide --SZ FT@23rd June'03_Asia Budget 06 vs 05 Rev VAR with Asia Based Clients" xfId="303"/>
    <cellStyle name="_Asia_QbrSlides_Cust Health_22April_SC JulyQBR Final slide --SZ FT@23rd June'03_Asia Budget 06 vs 05 Rev VAR with Asia Based Clients_bridge 2006 bud w forecast" xfId="304"/>
    <cellStyle name="_Asia_QbrSlides_Cust Health_22April_SC JulyQBR Final slide --SZ FT@23rd June'03_Asia Budget 06 vs 05 Rev VAR with Asia Based Clients_upshot Rev and Var - 200306-Revised-v2" xfId="305"/>
    <cellStyle name="_Asia_QbrSlides_Cust Health_22April_SC JulyQBR Final slide --SZ FT@23rd June'03_Asia Budget 06 vs 05 Rev VAR with Asia Based Clients_upshot Rev and Var - 200306-Revised-v2_bridge 2006 bud w forecast" xfId="306"/>
    <cellStyle name="_Asia_QbrSlides_Cust Health_22April_SC JulyQBR Final slide --SZ FT@23rd June'03_Asia Budget 06 vs 05 Rev VAR with Asia Based Clients_upshot Rev and Var - 200306-Revised-v2_Upshot Rev and Var - 200306-v11" xfId="307"/>
    <cellStyle name="_Asia_QbrSlides_Cust Health_22April_SC JulyQBR Final slide --SZ FT@23rd June'03_Asia Budget 06 vs 05 Rev VAR with Asia Based Clients_upshot Rev and Var - 200306-Revised-v2_Upshot Rev and Var - 200306-v11-elva" xfId="308"/>
    <cellStyle name="_Asia_QbrSlides_Cust Health_22April_SC JulyQBR Final slide --SZ FT@23rd June'03_Asia Budget 06 vs 05 Rev VAR with Asia Based Clients_upshot Rev and Var - 200306-Revised-v2_Upshot Rev and Var - 200306-v15" xfId="309"/>
    <cellStyle name="_Asia_QbrSlides_Cust Health_22April_SC JulyQBR Final slide --SZ FT@23rd June'03_Asia Budget 06 vs 05 Rev VAR with Asia Based Clients_upshot Rev and Var - 200306-Revised-v2_Upshot Rev and Var - 200306-v18" xfId="310"/>
    <cellStyle name="_Asia_QbrSlides_Cust Health_22April_SC JulyQBR Final slide --SZ FT@23rd June'03_Asia Budget 06 vs 05 Rev VAR with Asia Based Clients_upshot Rev and Var - 200306-Revised-v2_Upshot Rev and Var - 200306-v9  FOR lisa" xfId="311"/>
    <cellStyle name="_Asia_QbrSlides_Cust Health_22April_SC JulyQBR Final slide --SZ FT@23rd June'03_Asia Budget 06 vs 05 Rev VAR with Asia Based Clients_Upshot Rev and Var - 200306-v11" xfId="312"/>
    <cellStyle name="_Asia_QbrSlides_Cust Health_22April_SC JulyQBR Final slide --SZ FT@23rd June'03_Asia Budget 06 vs 05 Rev VAR with Asia Based Clients_Upshot Rev and Var - 200306-v11-elva" xfId="313"/>
    <cellStyle name="_Asia_QbrSlides_Cust Health_22April_SC JulyQBR Final slide --SZ FT@23rd June'03_Asia Budget 06 vs 05 Rev VAR with Asia Based Clients_Upshot Rev and Var - 200306-v15" xfId="314"/>
    <cellStyle name="_Asia_QbrSlides_Cust Health_22April_SC JulyQBR Final slide --SZ FT@23rd June'03_Asia Budget 06 vs 05 Rev VAR with Asia Based Clients_Upshot Rev and Var - 200306-v18" xfId="315"/>
    <cellStyle name="_Asia_QbrSlides_Cust Health_22April_SC JulyQBR Final slide --SZ FT@23rd June'03_Asia Budget 06 vs 05 Rev VAR with Asia Based Clients_Upshot Rev and Var - 200306-v6" xfId="316"/>
    <cellStyle name="_Asia_QbrSlides_Cust Health_22April_SC JulyQBR Final slide --SZ FT@23rd June'03_Asia Budget 06 vs 05 Rev VAR with Asia Based Clients_Upshot Rev and Var - 200306-v6_bridge 2006 bud w forecast" xfId="317"/>
    <cellStyle name="_Asia_QbrSlides_Cust Health_22April_SC JulyQBR Final slide --SZ FT@23rd June'03_Asia Budget 06 vs 05 Rev VAR with Asia Based Clients_Upshot Rev and Var - 200306-v6_Upshot Rev and Var - 200306-v11" xfId="318"/>
    <cellStyle name="_Asia_QbrSlides_Cust Health_22April_SC JulyQBR Final slide --SZ FT@23rd June'03_Asia Budget 06 vs 05 Rev VAR with Asia Based Clients_Upshot Rev and Var - 200306-v6_Upshot Rev and Var - 200306-v11-elva" xfId="319"/>
    <cellStyle name="_Asia_QbrSlides_Cust Health_22April_SC JulyQBR Final slide --SZ FT@23rd June'03_Asia Budget 06 vs 05 Rev VAR with Asia Based Clients_Upshot Rev and Var - 200306-v6_Upshot Rev and Var - 200306-v15" xfId="320"/>
    <cellStyle name="_Asia_QbrSlides_Cust Health_22April_SC JulyQBR Final slide --SZ FT@23rd June'03_Asia Budget 06 vs 05 Rev VAR with Asia Based Clients_Upshot Rev and Var - 200306-v6_Upshot Rev and Var - 200306-v18" xfId="321"/>
    <cellStyle name="_Asia_QbrSlides_Cust Health_22April_SC JulyQBR Final slide --SZ FT@23rd June'03_Asia Budget 06 vs 05 Rev VAR with Asia Based Clients_Upshot Rev and Var - 200306-v6_Upshot Rev and Var - 200306-v9  FOR lisa" xfId="322"/>
    <cellStyle name="_Asia_QbrSlides_Cust Health_22April_SC JulyQBR Final slide --SZ FT@23rd June'03_Asia Budget 06 vs 05 Rev VAR with Asia Based Clients_Upshot Rev and Var - 200306-v9  FOR lisa" xfId="323"/>
    <cellStyle name="_Asia_QbrSlides_Cust Health_22April_SC JulyQBR Final slide --SZ FT@23rd June'03_bridge 2006 bud w forecast" xfId="324"/>
    <cellStyle name="_Asia_QbrSlides_Cust Health_22April_SC JulyQBR Final slide --SZ FT@23rd June'03_CAPEX FY2006_KS_0111" xfId="325"/>
    <cellStyle name="_Asia_QbrSlides_Cust Health_22April_SC JulyQBR Final slide --SZ FT@23rd June'03_Trial Asia Budget 06 vs 05 Rev VAR with Asia Based Clients" xfId="326"/>
    <cellStyle name="_Asia_QbrSlides_Cust Health_22April_SC JulyQBR Final slide --SZ FT@23rd June'03_Trial Asia Budget 06 vs 05 Rev VAR with Asia Based Clients_bridge 2006 bud w forecast" xfId="327"/>
    <cellStyle name="_Asia_QbrSlides_Cust Health_22April_SC JulyQBR Final slide --SZ FT@23rd June'03_Trial Asia Budget 06 vs 05 Rev VAR with Asia Based Clients_upshot Rev and Var - 200306-Revised-v2" xfId="328"/>
    <cellStyle name="_Asia_QbrSlides_Cust Health_22April_SC JulyQBR Final slide --SZ FT@23rd June'03_Trial Asia Budget 06 vs 05 Rev VAR with Asia Based Clients_upshot Rev and Var - 200306-Revised-v2_bridge 2006 bud w forecast" xfId="329"/>
    <cellStyle name="_Asia_QbrSlides_Cust Health_22April_SC JulyQBR Final slide --SZ FT@23rd June'03_Trial Asia Budget 06 vs 05 Rev VAR with Asia Based Clients_upshot Rev and Var - 200306-Revised-v2_Upshot Rev and Var - 200306-v11" xfId="330"/>
    <cellStyle name="_Asia_QbrSlides_Cust Health_22April_SC JulyQBR Final slide --SZ FT@23rd June'03_Trial Asia Budget 06 vs 05 Rev VAR with Asia Based Clients_upshot Rev and Var - 200306-Revised-v2_Upshot Rev and Var - 200306-v11-elva" xfId="331"/>
    <cellStyle name="_Asia_QbrSlides_Cust Health_22April_SC JulyQBR Final slide --SZ FT@23rd June'03_Trial Asia Budget 06 vs 05 Rev VAR with Asia Based Clients_upshot Rev and Var - 200306-Revised-v2_Upshot Rev and Var - 200306-v15" xfId="332"/>
    <cellStyle name="_Asia_QbrSlides_Cust Health_22April_SC JulyQBR Final slide --SZ FT@23rd June'03_Trial Asia Budget 06 vs 05 Rev VAR with Asia Based Clients_upshot Rev and Var - 200306-Revised-v2_Upshot Rev and Var - 200306-v18" xfId="333"/>
    <cellStyle name="_Asia_QbrSlides_Cust Health_22April_SC JulyQBR Final slide --SZ FT@23rd June'03_Trial Asia Budget 06 vs 05 Rev VAR with Asia Based Clients_upshot Rev and Var - 200306-Revised-v2_Upshot Rev and Var - 200306-v9  FOR lisa" xfId="334"/>
    <cellStyle name="_Asia_QbrSlides_Cust Health_22April_SC JulyQBR Final slide --SZ FT@23rd June'03_Trial Asia Budget 06 vs 05 Rev VAR with Asia Based Clients_Upshot Rev and Var - 200306-v11" xfId="335"/>
    <cellStyle name="_Asia_QbrSlides_Cust Health_22April_SC JulyQBR Final slide --SZ FT@23rd June'03_Trial Asia Budget 06 vs 05 Rev VAR with Asia Based Clients_Upshot Rev and Var - 200306-v11-elva" xfId="336"/>
    <cellStyle name="_Asia_QbrSlides_Cust Health_22April_SC JulyQBR Final slide --SZ FT@23rd June'03_Trial Asia Budget 06 vs 05 Rev VAR with Asia Based Clients_Upshot Rev and Var - 200306-v15" xfId="337"/>
    <cellStyle name="_Asia_QbrSlides_Cust Health_22April_SC JulyQBR Final slide --SZ FT@23rd June'03_Trial Asia Budget 06 vs 05 Rev VAR with Asia Based Clients_Upshot Rev and Var - 200306-v18" xfId="338"/>
    <cellStyle name="_Asia_QbrSlides_Cust Health_22April_SC JulyQBR Final slide --SZ FT@23rd June'03_Trial Asia Budget 06 vs 05 Rev VAR with Asia Based Clients_Upshot Rev and Var - 200306-v6" xfId="339"/>
    <cellStyle name="_Asia_QbrSlides_Cust Health_22April_SC JulyQBR Final slide --SZ FT@23rd June'03_Trial Asia Budget 06 vs 05 Rev VAR with Asia Based Clients_Upshot Rev and Var - 200306-v6_bridge 2006 bud w forecast" xfId="340"/>
    <cellStyle name="_Asia_QbrSlides_Cust Health_22April_SC JulyQBR Final slide --SZ FT@23rd June'03_Trial Asia Budget 06 vs 05 Rev VAR with Asia Based Clients_Upshot Rev and Var - 200306-v6_Upshot Rev and Var - 200306-v11" xfId="341"/>
    <cellStyle name="_Asia_QbrSlides_Cust Health_22April_SC JulyQBR Final slide --SZ FT@23rd June'03_Trial Asia Budget 06 vs 05 Rev VAR with Asia Based Clients_Upshot Rev and Var - 200306-v6_Upshot Rev and Var - 200306-v11-elva" xfId="342"/>
    <cellStyle name="_Asia_QbrSlides_Cust Health_22April_SC JulyQBR Final slide --SZ FT@23rd June'03_Trial Asia Budget 06 vs 05 Rev VAR with Asia Based Clients_Upshot Rev and Var - 200306-v6_Upshot Rev and Var - 200306-v15" xfId="343"/>
    <cellStyle name="_Asia_QbrSlides_Cust Health_22April_SC JulyQBR Final slide --SZ FT@23rd June'03_Trial Asia Budget 06 vs 05 Rev VAR with Asia Based Clients_Upshot Rev and Var - 200306-v6_Upshot Rev and Var - 200306-v18" xfId="344"/>
    <cellStyle name="_Asia_QbrSlides_Cust Health_22April_SC JulyQBR Final slide --SZ FT@23rd June'03_Trial Asia Budget 06 vs 05 Rev VAR with Asia Based Clients_Upshot Rev and Var - 200306-v6_Upshot Rev and Var - 200306-v9  FOR lisa" xfId="345"/>
    <cellStyle name="_Asia_QbrSlides_Cust Health_22April_SC JulyQBR Final slide --SZ FT@23rd June'03_Trial Asia Budget 06 vs 05 Rev VAR with Asia Based Clients_Upshot Rev and Var - 200306-v9  FOR lisa" xfId="346"/>
    <cellStyle name="_Asia_QbrSlides_Cust Health_22April_SC JulyQBR Final slide --SZ FT@23rd June'03_upshot Rev and Var - 200306-Revised-v2" xfId="347"/>
    <cellStyle name="_Asia_QbrSlides_Cust Health_22April_SC JulyQBR Final slide --SZ FT@23rd June'03_upshot Rev and Var - 200306-Revised-v2_bridge 2006 bud w forecast" xfId="348"/>
    <cellStyle name="_Asia_QbrSlides_Cust Health_22April_SC JulyQBR Final slide --SZ FT@23rd June'03_upshot Rev and Var - 200306-Revised-v2_Upshot Rev and Var - 200306-v11" xfId="349"/>
    <cellStyle name="_Asia_QbrSlides_Cust Health_22April_SC JulyQBR Final slide --SZ FT@23rd June'03_upshot Rev and Var - 200306-Revised-v2_Upshot Rev and Var - 200306-v11-elva" xfId="350"/>
    <cellStyle name="_Asia_QbrSlides_Cust Health_22April_SC JulyQBR Final slide --SZ FT@23rd June'03_upshot Rev and Var - 200306-Revised-v2_Upshot Rev and Var - 200306-v15" xfId="351"/>
    <cellStyle name="_Asia_QbrSlides_Cust Health_22April_SC JulyQBR Final slide --SZ FT@23rd June'03_upshot Rev and Var - 200306-Revised-v2_Upshot Rev and Var - 200306-v18" xfId="352"/>
    <cellStyle name="_Asia_QbrSlides_Cust Health_22April_SC JulyQBR Final slide --SZ FT@23rd June'03_upshot Rev and Var - 200306-Revised-v2_Upshot Rev and Var - 200306-v9  FOR lisa" xfId="353"/>
    <cellStyle name="_Asia_QbrSlides_Cust Health_22April_SC JulyQBR Final slide --SZ FT@23rd June'03_Upshot Rev and Var - 200306-v11" xfId="354"/>
    <cellStyle name="_Asia_QbrSlides_Cust Health_22April_SC JulyQBR Final slide --SZ FT@23rd June'03_Upshot Rev and Var - 200306-v11-elva" xfId="355"/>
    <cellStyle name="_Asia_QbrSlides_Cust Health_22April_SC JulyQBR Final slide --SZ FT@23rd June'03_Upshot Rev and Var - 200306-v15" xfId="356"/>
    <cellStyle name="_Asia_QbrSlides_Cust Health_22April_SC JulyQBR Final slide --SZ FT@23rd June'03_Upshot Rev and Var - 200306-v18" xfId="357"/>
    <cellStyle name="_Asia_QbrSlides_Cust Health_22April_SC JulyQBR Final slide --SZ FT@23rd June'03_Upshot Rev and Var - 200306-v6" xfId="358"/>
    <cellStyle name="_Asia_QbrSlides_Cust Health_22April_SC JulyQBR Final slide --SZ FT@23rd June'03_Upshot Rev and Var - 200306-v6_bridge 2006 bud w forecast" xfId="359"/>
    <cellStyle name="_Asia_QbrSlides_Cust Health_22April_SC JulyQBR Final slide --SZ FT@23rd June'03_Upshot Rev and Var - 200306-v6_Upshot Rev and Var - 200306-v11" xfId="360"/>
    <cellStyle name="_Asia_QbrSlides_Cust Health_22April_SC JulyQBR Final slide --SZ FT@23rd June'03_Upshot Rev and Var - 200306-v6_Upshot Rev and Var - 200306-v11-elva" xfId="361"/>
    <cellStyle name="_Asia_QbrSlides_Cust Health_22April_SC JulyQBR Final slide --SZ FT@23rd June'03_Upshot Rev and Var - 200306-v6_Upshot Rev and Var - 200306-v15" xfId="362"/>
    <cellStyle name="_Asia_QbrSlides_Cust Health_22April_SC JulyQBR Final slide --SZ FT@23rd June'03_Upshot Rev and Var - 200306-v6_Upshot Rev and Var - 200306-v18" xfId="363"/>
    <cellStyle name="_Asia_QbrSlides_Cust Health_22April_SC JulyQBR Final slide --SZ FT@23rd June'03_Upshot Rev and Var - 200306-v6_Upshot Rev and Var - 200306-v9  FOR lisa" xfId="364"/>
    <cellStyle name="_Asia_QbrSlides_Cust Health_22April_SC JulyQBR Final slide --SZ FT@23rd June'03_Upshot Rev and Var - 200306-v9  FOR lisa" xfId="365"/>
    <cellStyle name="_Asia_QbrSlides_Cust Health_22April_SC JulyQBR Final slide --SZ XX@23rd June'03 " xfId="366"/>
    <cellStyle name="_Asia_QbrSlides_Cust Health_22April_SC JulyQBR Final slide --SZ XX@23rd June'03 _AMD pricing version 2" xfId="367"/>
    <cellStyle name="_Asia_QbrSlides_Cust Health_22April_SC JulyQBR Final slide --SZ XX@23rd June'03 _Asia Budget 06 vs 05 Rev VAR with Asia Based Clients" xfId="368"/>
    <cellStyle name="_Asia_QbrSlides_Cust Health_22April_SC JulyQBR Final slide --SZ XX@23rd June'03 _Asia Budget 06 vs 05 Rev VAR with Asia Based Clients_bridge 2006 bud w forecast" xfId="369"/>
    <cellStyle name="_Asia_QbrSlides_Cust Health_22April_SC JulyQBR Final slide --SZ XX@23rd June'03 _Asia Budget 06 vs 05 Rev VAR with Asia Based Clients_upshot Rev and Var - 200306-Revised-v2" xfId="370"/>
    <cellStyle name="_Asia_QbrSlides_Cust Health_22April_SC JulyQBR Final slide --SZ XX@23rd June'03 _Asia Budget 06 vs 05 Rev VAR with Asia Based Clients_upshot Rev and Var - 200306-Revised-v2_bridge 2006 bud w forecast" xfId="371"/>
    <cellStyle name="_Asia_QbrSlides_Cust Health_22April_SC JulyQBR Final slide --SZ XX@23rd June'03 _Asia Budget 06 vs 05 Rev VAR with Asia Based Clients_upshot Rev and Var - 200306-Revised-v2_Upshot Rev and Var - 200306-v11" xfId="372"/>
    <cellStyle name="_Asia_QbrSlides_Cust Health_22April_SC JulyQBR Final slide --SZ XX@23rd June'03 _Asia Budget 06 vs 05 Rev VAR with Asia Based Clients_upshot Rev and Var - 200306-Revised-v2_Upshot Rev and Var - 200306-v11-elva" xfId="373"/>
    <cellStyle name="_Asia_QbrSlides_Cust Health_22April_SC JulyQBR Final slide --SZ XX@23rd June'03 _Asia Budget 06 vs 05 Rev VAR with Asia Based Clients_upshot Rev and Var - 200306-Revised-v2_Upshot Rev and Var - 200306-v15" xfId="374"/>
    <cellStyle name="_Asia_QbrSlides_Cust Health_22April_SC JulyQBR Final slide --SZ XX@23rd June'03 _Asia Budget 06 vs 05 Rev VAR with Asia Based Clients_upshot Rev and Var - 200306-Revised-v2_Upshot Rev and Var - 200306-v18" xfId="375"/>
    <cellStyle name="_Asia_QbrSlides_Cust Health_22April_SC JulyQBR Final slide --SZ XX@23rd June'03 _Asia Budget 06 vs 05 Rev VAR with Asia Based Clients_upshot Rev and Var - 200306-Revised-v2_Upshot Rev and Var - 200306-v9  FOR lisa" xfId="376"/>
    <cellStyle name="_Asia_QbrSlides_Cust Health_22April_SC JulyQBR Final slide --SZ XX@23rd June'03 _Asia Budget 06 vs 05 Rev VAR with Asia Based Clients_Upshot Rev and Var - 200306-v11" xfId="377"/>
    <cellStyle name="_Asia_QbrSlides_Cust Health_22April_SC JulyQBR Final slide --SZ XX@23rd June'03 _Asia Budget 06 vs 05 Rev VAR with Asia Based Clients_Upshot Rev and Var - 200306-v11-elva" xfId="378"/>
    <cellStyle name="_Asia_QbrSlides_Cust Health_22April_SC JulyQBR Final slide --SZ XX@23rd June'03 _Asia Budget 06 vs 05 Rev VAR with Asia Based Clients_Upshot Rev and Var - 200306-v15" xfId="379"/>
    <cellStyle name="_Asia_QbrSlides_Cust Health_22April_SC JulyQBR Final slide --SZ XX@23rd June'03 _Asia Budget 06 vs 05 Rev VAR with Asia Based Clients_Upshot Rev and Var - 200306-v18" xfId="380"/>
    <cellStyle name="_Asia_QbrSlides_Cust Health_22April_SC JulyQBR Final slide --SZ XX@23rd June'03 _Asia Budget 06 vs 05 Rev VAR with Asia Based Clients_Upshot Rev and Var - 200306-v6" xfId="381"/>
    <cellStyle name="_Asia_QbrSlides_Cust Health_22April_SC JulyQBR Final slide --SZ XX@23rd June'03 _Asia Budget 06 vs 05 Rev VAR with Asia Based Clients_Upshot Rev and Var - 200306-v6_bridge 2006 bud w forecast" xfId="382"/>
    <cellStyle name="_Asia_QbrSlides_Cust Health_22April_SC JulyQBR Final slide --SZ XX@23rd June'03 _Asia Budget 06 vs 05 Rev VAR with Asia Based Clients_Upshot Rev and Var - 200306-v6_Upshot Rev and Var - 200306-v11" xfId="383"/>
    <cellStyle name="_Asia_QbrSlides_Cust Health_22April_SC JulyQBR Final slide --SZ XX@23rd June'03 _Asia Budget 06 vs 05 Rev VAR with Asia Based Clients_Upshot Rev and Var - 200306-v6_Upshot Rev and Var - 200306-v11-elva" xfId="384"/>
    <cellStyle name="_Asia_QbrSlides_Cust Health_22April_SC JulyQBR Final slide --SZ XX@23rd June'03 _Asia Budget 06 vs 05 Rev VAR with Asia Based Clients_Upshot Rev and Var - 200306-v6_Upshot Rev and Var - 200306-v15" xfId="385"/>
    <cellStyle name="_Asia_QbrSlides_Cust Health_22April_SC JulyQBR Final slide --SZ XX@23rd June'03 _Asia Budget 06 vs 05 Rev VAR with Asia Based Clients_Upshot Rev and Var - 200306-v6_Upshot Rev and Var - 200306-v18" xfId="386"/>
    <cellStyle name="_Asia_QbrSlides_Cust Health_22April_SC JulyQBR Final slide --SZ XX@23rd June'03 _Asia Budget 06 vs 05 Rev VAR with Asia Based Clients_Upshot Rev and Var - 200306-v6_Upshot Rev and Var - 200306-v9  FOR lisa" xfId="387"/>
    <cellStyle name="_Asia_QbrSlides_Cust Health_22April_SC JulyQBR Final slide --SZ XX@23rd June'03 _Asia Budget 06 vs 05 Rev VAR with Asia Based Clients_Upshot Rev and Var - 200306-v9  FOR lisa" xfId="388"/>
    <cellStyle name="_Asia_QbrSlides_Cust Health_22April_SC JulyQBR Final slide --SZ XX@23rd June'03 _bridge 2006 bud w forecast" xfId="389"/>
    <cellStyle name="_Asia_QbrSlides_Cust Health_22April_SC JulyQBR Final slide --SZ XX@23rd June'03 _CAPEX FY2006_KS_0111" xfId="390"/>
    <cellStyle name="_Asia_QbrSlides_Cust Health_22April_SC JulyQBR Final slide --SZ XX@23rd June'03 _Trial Asia Budget 06 vs 05 Rev VAR with Asia Based Clients" xfId="391"/>
    <cellStyle name="_Asia_QbrSlides_Cust Health_22April_SC JulyQBR Final slide --SZ XX@23rd June'03 _Trial Asia Budget 06 vs 05 Rev VAR with Asia Based Clients_bridge 2006 bud w forecast" xfId="392"/>
    <cellStyle name="_Asia_QbrSlides_Cust Health_22April_SC JulyQBR Final slide --SZ XX@23rd June'03 _Trial Asia Budget 06 vs 05 Rev VAR with Asia Based Clients_upshot Rev and Var - 200306-Revised-v2" xfId="393"/>
    <cellStyle name="_Asia_QbrSlides_Cust Health_22April_SC JulyQBR Final slide --SZ XX@23rd June'03 _Trial Asia Budget 06 vs 05 Rev VAR with Asia Based Clients_upshot Rev and Var - 200306-Revised-v2_bridge 2006 bud w forecast" xfId="394"/>
    <cellStyle name="_Asia_QbrSlides_Cust Health_22April_SC JulyQBR Final slide --SZ XX@23rd June'03 _Trial Asia Budget 06 vs 05 Rev VAR with Asia Based Clients_upshot Rev and Var - 200306-Revised-v2_Upshot Rev and Var - 200306-v11" xfId="395"/>
    <cellStyle name="_Asia_QbrSlides_Cust Health_22April_SC JulyQBR Final slide --SZ XX@23rd June'03 _Trial Asia Budget 06 vs 05 Rev VAR with Asia Based Clients_upshot Rev and Var - 200306-Revised-v2_Upshot Rev and Var - 200306-v11-elva" xfId="396"/>
    <cellStyle name="_Asia_QbrSlides_Cust Health_22April_SC JulyQBR Final slide --SZ XX@23rd June'03 _Trial Asia Budget 06 vs 05 Rev VAR with Asia Based Clients_upshot Rev and Var - 200306-Revised-v2_Upshot Rev and Var - 200306-v15" xfId="397"/>
    <cellStyle name="_Asia_QbrSlides_Cust Health_22April_SC JulyQBR Final slide --SZ XX@23rd June'03 _Trial Asia Budget 06 vs 05 Rev VAR with Asia Based Clients_upshot Rev and Var - 200306-Revised-v2_Upshot Rev and Var - 200306-v18" xfId="398"/>
    <cellStyle name="_Asia_QbrSlides_Cust Health_22April_SC JulyQBR Final slide --SZ XX@23rd June'03 _Trial Asia Budget 06 vs 05 Rev VAR with Asia Based Clients_upshot Rev and Var - 200306-Revised-v2_Upshot Rev and Var - 200306-v9  FOR lisa" xfId="399"/>
    <cellStyle name="_Asia_QbrSlides_Cust Health_22April_SC JulyQBR Final slide --SZ XX@23rd June'03 _Trial Asia Budget 06 vs 05 Rev VAR with Asia Based Clients_Upshot Rev and Var - 200306-v11" xfId="400"/>
    <cellStyle name="_Asia_QbrSlides_Cust Health_22April_SC JulyQBR Final slide --SZ XX@23rd June'03 _Trial Asia Budget 06 vs 05 Rev VAR with Asia Based Clients_Upshot Rev and Var - 200306-v11-elva" xfId="401"/>
    <cellStyle name="_Asia_QbrSlides_Cust Health_22April_SC JulyQBR Final slide --SZ XX@23rd June'03 _Trial Asia Budget 06 vs 05 Rev VAR with Asia Based Clients_Upshot Rev and Var - 200306-v15" xfId="402"/>
    <cellStyle name="_Asia_QbrSlides_Cust Health_22April_SC JulyQBR Final slide --SZ XX@23rd June'03 _Trial Asia Budget 06 vs 05 Rev VAR with Asia Based Clients_Upshot Rev and Var - 200306-v18" xfId="403"/>
    <cellStyle name="_Asia_QbrSlides_Cust Health_22April_SC JulyQBR Final slide --SZ XX@23rd June'03 _Trial Asia Budget 06 vs 05 Rev VAR with Asia Based Clients_Upshot Rev and Var - 200306-v6" xfId="404"/>
    <cellStyle name="_Asia_QbrSlides_Cust Health_22April_SC JulyQBR Final slide --SZ XX@23rd June'03 _Trial Asia Budget 06 vs 05 Rev VAR with Asia Based Clients_Upshot Rev and Var - 200306-v6_bridge 2006 bud w forecast" xfId="405"/>
    <cellStyle name="_Asia_QbrSlides_Cust Health_22April_SC JulyQBR Final slide --SZ XX@23rd June'03 _Trial Asia Budget 06 vs 05 Rev VAR with Asia Based Clients_Upshot Rev and Var - 200306-v6_Upshot Rev and Var - 200306-v11" xfId="406"/>
    <cellStyle name="_Asia_QbrSlides_Cust Health_22April_SC JulyQBR Final slide --SZ XX@23rd June'03 _Trial Asia Budget 06 vs 05 Rev VAR with Asia Based Clients_Upshot Rev and Var - 200306-v6_Upshot Rev and Var - 200306-v11-elva" xfId="407"/>
    <cellStyle name="_Asia_QbrSlides_Cust Health_22April_SC JulyQBR Final slide --SZ XX@23rd June'03 _Trial Asia Budget 06 vs 05 Rev VAR with Asia Based Clients_Upshot Rev and Var - 200306-v6_Upshot Rev and Var - 200306-v15" xfId="408"/>
    <cellStyle name="_Asia_QbrSlides_Cust Health_22April_SC JulyQBR Final slide --SZ XX@23rd June'03 _Trial Asia Budget 06 vs 05 Rev VAR with Asia Based Clients_Upshot Rev and Var - 200306-v6_Upshot Rev and Var - 200306-v18" xfId="409"/>
    <cellStyle name="_Asia_QbrSlides_Cust Health_22April_SC JulyQBR Final slide --SZ XX@23rd June'03 _Trial Asia Budget 06 vs 05 Rev VAR with Asia Based Clients_Upshot Rev and Var - 200306-v6_Upshot Rev and Var - 200306-v9  FOR lisa" xfId="410"/>
    <cellStyle name="_Asia_QbrSlides_Cust Health_22April_SC JulyQBR Final slide --SZ XX@23rd June'03 _Trial Asia Budget 06 vs 05 Rev VAR with Asia Based Clients_Upshot Rev and Var - 200306-v9  FOR lisa" xfId="411"/>
    <cellStyle name="_Asia_QbrSlides_Cust Health_22April_SC JulyQBR Final slide --SZ XX@23rd June'03 _upshot Rev and Var - 200306-Revised-v2" xfId="412"/>
    <cellStyle name="_Asia_QbrSlides_Cust Health_22April_SC JulyQBR Final slide --SZ XX@23rd June'03 _upshot Rev and Var - 200306-Revised-v2_bridge 2006 bud w forecast" xfId="413"/>
    <cellStyle name="_Asia_QbrSlides_Cust Health_22April_SC JulyQBR Final slide --SZ XX@23rd June'03 _upshot Rev and Var - 200306-Revised-v2_Upshot Rev and Var - 200306-v11" xfId="414"/>
    <cellStyle name="_Asia_QbrSlides_Cust Health_22April_SC JulyQBR Final slide --SZ XX@23rd June'03 _upshot Rev and Var - 200306-Revised-v2_Upshot Rev and Var - 200306-v11-elva" xfId="415"/>
    <cellStyle name="_Asia_QbrSlides_Cust Health_22April_SC JulyQBR Final slide --SZ XX@23rd June'03 _upshot Rev and Var - 200306-Revised-v2_Upshot Rev and Var - 200306-v15" xfId="416"/>
    <cellStyle name="_Asia_QbrSlides_Cust Health_22April_SC JulyQBR Final slide --SZ XX@23rd June'03 _upshot Rev and Var - 200306-Revised-v2_Upshot Rev and Var - 200306-v18" xfId="417"/>
    <cellStyle name="_Asia_QbrSlides_Cust Health_22April_SC JulyQBR Final slide --SZ XX@23rd June'03 _upshot Rev and Var - 200306-Revised-v2_Upshot Rev and Var - 200306-v9  FOR lisa" xfId="418"/>
    <cellStyle name="_Asia_QbrSlides_Cust Health_22April_SC JulyQBR Final slide --SZ XX@23rd June'03 _Upshot Rev and Var - 200306-v11" xfId="419"/>
    <cellStyle name="_Asia_QbrSlides_Cust Health_22April_SC JulyQBR Final slide --SZ XX@23rd June'03 _Upshot Rev and Var - 200306-v11-elva" xfId="420"/>
    <cellStyle name="_Asia_QbrSlides_Cust Health_22April_SC JulyQBR Final slide --SZ XX@23rd June'03 _Upshot Rev and Var - 200306-v15" xfId="421"/>
    <cellStyle name="_Asia_QbrSlides_Cust Health_22April_SC JulyQBR Final slide --SZ XX@23rd June'03 _Upshot Rev and Var - 200306-v18" xfId="422"/>
    <cellStyle name="_Asia_QbrSlides_Cust Health_22April_SC JulyQBR Final slide --SZ XX@23rd June'03 _Upshot Rev and Var - 200306-v6" xfId="423"/>
    <cellStyle name="_Asia_QbrSlides_Cust Health_22April_SC JulyQBR Final slide --SZ XX@23rd June'03 _Upshot Rev and Var - 200306-v6_bridge 2006 bud w forecast" xfId="424"/>
    <cellStyle name="_Asia_QbrSlides_Cust Health_22April_SC JulyQBR Final slide --SZ XX@23rd June'03 _Upshot Rev and Var - 200306-v6_Upshot Rev and Var - 200306-v11" xfId="425"/>
    <cellStyle name="_Asia_QbrSlides_Cust Health_22April_SC JulyQBR Final slide --SZ XX@23rd June'03 _Upshot Rev and Var - 200306-v6_Upshot Rev and Var - 200306-v11-elva" xfId="426"/>
    <cellStyle name="_Asia_QbrSlides_Cust Health_22April_SC JulyQBR Final slide --SZ XX@23rd June'03 _Upshot Rev and Var - 200306-v6_Upshot Rev and Var - 200306-v15" xfId="427"/>
    <cellStyle name="_Asia_QbrSlides_Cust Health_22April_SC JulyQBR Final slide --SZ XX@23rd June'03 _Upshot Rev and Var - 200306-v6_Upshot Rev and Var - 200306-v18" xfId="428"/>
    <cellStyle name="_Asia_QbrSlides_Cust Health_22April_SC JulyQBR Final slide --SZ XX@23rd June'03 _Upshot Rev and Var - 200306-v6_Upshot Rev and Var - 200306-v9  FOR lisa" xfId="429"/>
    <cellStyle name="_Asia_QbrSlides_Cust Health_22April_SC JulyQBR Final slide --SZ XX@23rd June'03 _Upshot Rev and Var - 200306-v9  FOR lisa" xfId="430"/>
    <cellStyle name="_Asia_QbrSlides_Cust Health_22April_SC JulyQBR Final slide template-Futian" xfId="431"/>
    <cellStyle name="_Asia_QbrSlides_Cust Health_22April_SC JulyQBR Final slide template-Futian_AMD pricing version 2" xfId="432"/>
    <cellStyle name="_Asia_QbrSlides_Cust Health_22April_SC JulyQBR Final slide template-Futian_Asia Budget 06 vs 05 Rev VAR with Asia Based Clients" xfId="433"/>
    <cellStyle name="_Asia_QbrSlides_Cust Health_22April_SC JulyQBR Final slide template-Futian_Asia Budget 06 vs 05 Rev VAR with Asia Based Clients_bridge 2006 bud w forecast" xfId="434"/>
    <cellStyle name="_Asia_QbrSlides_Cust Health_22April_SC JulyQBR Final slide template-Futian_Asia Budget 06 vs 05 Rev VAR with Asia Based Clients_upshot Rev and Var - 200306-Revised-v2" xfId="435"/>
    <cellStyle name="_Asia_QbrSlides_Cust Health_22April_SC JulyQBR Final slide template-Futian_Asia Budget 06 vs 05 Rev VAR with Asia Based Clients_upshot Rev and Var - 200306-Revised-v2_bridge 2006 bud w forecast" xfId="436"/>
    <cellStyle name="_Asia_QbrSlides_Cust Health_22April_SC JulyQBR Final slide template-Futian_Asia Budget 06 vs 05 Rev VAR with Asia Based Clients_upshot Rev and Var - 200306-Revised-v2_Upshot Rev and Var - 200306-v11" xfId="437"/>
    <cellStyle name="_Asia_QbrSlides_Cust Health_22April_SC JulyQBR Final slide template-Futian_Asia Budget 06 vs 05 Rev VAR with Asia Based Clients_upshot Rev and Var - 200306-Revised-v2_Upshot Rev and Var - 200306-v11-elva" xfId="438"/>
    <cellStyle name="_Asia_QbrSlides_Cust Health_22April_SC JulyQBR Final slide template-Futian_Asia Budget 06 vs 05 Rev VAR with Asia Based Clients_upshot Rev and Var - 200306-Revised-v2_Upshot Rev and Var - 200306-v15" xfId="439"/>
    <cellStyle name="_Asia_QbrSlides_Cust Health_22April_SC JulyQBR Final slide template-Futian_Asia Budget 06 vs 05 Rev VAR with Asia Based Clients_upshot Rev and Var - 200306-Revised-v2_Upshot Rev and Var - 200306-v18" xfId="440"/>
    <cellStyle name="_Asia_QbrSlides_Cust Health_22April_SC JulyQBR Final slide template-Futian_Asia Budget 06 vs 05 Rev VAR with Asia Based Clients_upshot Rev and Var - 200306-Revised-v2_Upshot Rev and Var - 200306-v9  FOR lisa" xfId="441"/>
    <cellStyle name="_Asia_QbrSlides_Cust Health_22April_SC JulyQBR Final slide template-Futian_Asia Budget 06 vs 05 Rev VAR with Asia Based Clients_Upshot Rev and Var - 200306-v11" xfId="442"/>
    <cellStyle name="_Asia_QbrSlides_Cust Health_22April_SC JulyQBR Final slide template-Futian_Asia Budget 06 vs 05 Rev VAR with Asia Based Clients_Upshot Rev and Var - 200306-v11-elva" xfId="443"/>
    <cellStyle name="_Asia_QbrSlides_Cust Health_22April_SC JulyQBR Final slide template-Futian_Asia Budget 06 vs 05 Rev VAR with Asia Based Clients_Upshot Rev and Var - 200306-v15" xfId="444"/>
    <cellStyle name="_Asia_QbrSlides_Cust Health_22April_SC JulyQBR Final slide template-Futian_Asia Budget 06 vs 05 Rev VAR with Asia Based Clients_Upshot Rev and Var - 200306-v18" xfId="445"/>
    <cellStyle name="_Asia_QbrSlides_Cust Health_22April_SC JulyQBR Final slide template-Futian_Asia Budget 06 vs 05 Rev VAR with Asia Based Clients_Upshot Rev and Var - 200306-v6" xfId="446"/>
    <cellStyle name="_Asia_QbrSlides_Cust Health_22April_SC JulyQBR Final slide template-Futian_Asia Budget 06 vs 05 Rev VAR with Asia Based Clients_Upshot Rev and Var - 200306-v6_bridge 2006 bud w forecast" xfId="447"/>
    <cellStyle name="_Asia_QbrSlides_Cust Health_22April_SC JulyQBR Final slide template-Futian_Asia Budget 06 vs 05 Rev VAR with Asia Based Clients_Upshot Rev and Var - 200306-v6_Upshot Rev and Var - 200306-v11" xfId="448"/>
    <cellStyle name="_Asia_QbrSlides_Cust Health_22April_SC JulyQBR Final slide template-Futian_Asia Budget 06 vs 05 Rev VAR with Asia Based Clients_Upshot Rev and Var - 200306-v6_Upshot Rev and Var - 200306-v11-elva" xfId="449"/>
    <cellStyle name="_Asia_QbrSlides_Cust Health_22April_SC JulyQBR Final slide template-Futian_Asia Budget 06 vs 05 Rev VAR with Asia Based Clients_Upshot Rev and Var - 200306-v6_Upshot Rev and Var - 200306-v15" xfId="450"/>
    <cellStyle name="_Asia_QbrSlides_Cust Health_22April_SC JulyQBR Final slide template-Futian_Asia Budget 06 vs 05 Rev VAR with Asia Based Clients_Upshot Rev and Var - 200306-v6_Upshot Rev and Var - 200306-v18" xfId="451"/>
    <cellStyle name="_Asia_QbrSlides_Cust Health_22April_SC JulyQBR Final slide template-Futian_Asia Budget 06 vs 05 Rev VAR with Asia Based Clients_Upshot Rev and Var - 200306-v6_Upshot Rev and Var - 200306-v9  FOR lisa" xfId="452"/>
    <cellStyle name="_Asia_QbrSlides_Cust Health_22April_SC JulyQBR Final slide template-Futian_Asia Budget 06 vs 05 Rev VAR with Asia Based Clients_Upshot Rev and Var - 200306-v9  FOR lisa" xfId="453"/>
    <cellStyle name="_Asia_QbrSlides_Cust Health_22April_SC JulyQBR Final slide template-Futian_bridge 2006 bud w forecast" xfId="454"/>
    <cellStyle name="_Asia_QbrSlides_Cust Health_22April_SC JulyQBR Final slide template-Futian_CAPEX FY2006_KS_0111" xfId="455"/>
    <cellStyle name="_Asia_QbrSlides_Cust Health_22April_SC JulyQBR Final slide template-Futian_Trial Asia Budget 06 vs 05 Rev VAR with Asia Based Clients" xfId="456"/>
    <cellStyle name="_Asia_QbrSlides_Cust Health_22April_SC JulyQBR Final slide template-Futian_Trial Asia Budget 06 vs 05 Rev VAR with Asia Based Clients_bridge 2006 bud w forecast" xfId="457"/>
    <cellStyle name="_Asia_QbrSlides_Cust Health_22April_SC JulyQBR Final slide template-Futian_Trial Asia Budget 06 vs 05 Rev VAR with Asia Based Clients_upshot Rev and Var - 200306-Revised-v2" xfId="458"/>
    <cellStyle name="_Asia_QbrSlides_Cust Health_22April_SC JulyQBR Final slide template-Futian_Trial Asia Budget 06 vs 05 Rev VAR with Asia Based Clients_upshot Rev and Var - 200306-Revised-v2_bridge 2006 bud w forecast" xfId="459"/>
    <cellStyle name="_Asia_QbrSlides_Cust Health_22April_SC JulyQBR Final slide template-Futian_Trial Asia Budget 06 vs 05 Rev VAR with Asia Based Clients_upshot Rev and Var - 200306-Revised-v2_Upshot Rev and Var - 200306-v11" xfId="460"/>
    <cellStyle name="_Asia_QbrSlides_Cust Health_22April_SC JulyQBR Final slide template-Futian_Trial Asia Budget 06 vs 05 Rev VAR with Asia Based Clients_upshot Rev and Var - 200306-Revised-v2_Upshot Rev and Var - 200306-v11-elva" xfId="461"/>
    <cellStyle name="_Asia_QbrSlides_Cust Health_22April_SC JulyQBR Final slide template-Futian_Trial Asia Budget 06 vs 05 Rev VAR with Asia Based Clients_upshot Rev and Var - 200306-Revised-v2_Upshot Rev and Var - 200306-v15" xfId="462"/>
    <cellStyle name="_Asia_QbrSlides_Cust Health_22April_SC JulyQBR Final slide template-Futian_Trial Asia Budget 06 vs 05 Rev VAR with Asia Based Clients_upshot Rev and Var - 200306-Revised-v2_Upshot Rev and Var - 200306-v18" xfId="463"/>
    <cellStyle name="_Asia_QbrSlides_Cust Health_22April_SC JulyQBR Final slide template-Futian_Trial Asia Budget 06 vs 05 Rev VAR with Asia Based Clients_upshot Rev and Var - 200306-Revised-v2_Upshot Rev and Var - 200306-v9  FOR lisa" xfId="464"/>
    <cellStyle name="_Asia_QbrSlides_Cust Health_22April_SC JulyQBR Final slide template-Futian_Trial Asia Budget 06 vs 05 Rev VAR with Asia Based Clients_Upshot Rev and Var - 200306-v11" xfId="465"/>
    <cellStyle name="_Asia_QbrSlides_Cust Health_22April_SC JulyQBR Final slide template-Futian_Trial Asia Budget 06 vs 05 Rev VAR with Asia Based Clients_Upshot Rev and Var - 200306-v11-elva" xfId="466"/>
    <cellStyle name="_Asia_QbrSlides_Cust Health_22April_SC JulyQBR Final slide template-Futian_Trial Asia Budget 06 vs 05 Rev VAR with Asia Based Clients_Upshot Rev and Var - 200306-v15" xfId="467"/>
    <cellStyle name="_Asia_QbrSlides_Cust Health_22April_SC JulyQBR Final slide template-Futian_Trial Asia Budget 06 vs 05 Rev VAR with Asia Based Clients_Upshot Rev and Var - 200306-v18" xfId="468"/>
    <cellStyle name="_Asia_QbrSlides_Cust Health_22April_SC JulyQBR Final slide template-Futian_Trial Asia Budget 06 vs 05 Rev VAR with Asia Based Clients_Upshot Rev and Var - 200306-v6" xfId="469"/>
    <cellStyle name="_Asia_QbrSlides_Cust Health_22April_SC JulyQBR Final slide template-Futian_Trial Asia Budget 06 vs 05 Rev VAR with Asia Based Clients_Upshot Rev and Var - 200306-v6_bridge 2006 bud w forecast" xfId="470"/>
    <cellStyle name="_Asia_QbrSlides_Cust Health_22April_SC JulyQBR Final slide template-Futian_Trial Asia Budget 06 vs 05 Rev VAR with Asia Based Clients_Upshot Rev and Var - 200306-v6_Upshot Rev and Var - 200306-v11" xfId="471"/>
    <cellStyle name="_Asia_QbrSlides_Cust Health_22April_SC JulyQBR Final slide template-Futian_Trial Asia Budget 06 vs 05 Rev VAR with Asia Based Clients_Upshot Rev and Var - 200306-v6_Upshot Rev and Var - 200306-v11-elva" xfId="472"/>
    <cellStyle name="_Asia_QbrSlides_Cust Health_22April_SC JulyQBR Final slide template-Futian_Trial Asia Budget 06 vs 05 Rev VAR with Asia Based Clients_Upshot Rev and Var - 200306-v6_Upshot Rev and Var - 200306-v15" xfId="473"/>
    <cellStyle name="_Asia_QbrSlides_Cust Health_22April_SC JulyQBR Final slide template-Futian_Trial Asia Budget 06 vs 05 Rev VAR with Asia Based Clients_Upshot Rev and Var - 200306-v6_Upshot Rev and Var - 200306-v18" xfId="474"/>
    <cellStyle name="_Asia_QbrSlides_Cust Health_22April_SC JulyQBR Final slide template-Futian_Trial Asia Budget 06 vs 05 Rev VAR with Asia Based Clients_Upshot Rev and Var - 200306-v6_Upshot Rev and Var - 200306-v9  FOR lisa" xfId="475"/>
    <cellStyle name="_Asia_QbrSlides_Cust Health_22April_SC JulyQBR Final slide template-Futian_Trial Asia Budget 06 vs 05 Rev VAR with Asia Based Clients_Upshot Rev and Var - 200306-v9  FOR lisa" xfId="476"/>
    <cellStyle name="_Asia_QbrSlides_Cust Health_22April_SC JulyQBR Final slide template-Futian_upshot Rev and Var - 200306-Revised-v2" xfId="477"/>
    <cellStyle name="_Asia_QbrSlides_Cust Health_22April_SC JulyQBR Final slide template-Futian_upshot Rev and Var - 200306-Revised-v2_bridge 2006 bud w forecast" xfId="478"/>
    <cellStyle name="_Asia_QbrSlides_Cust Health_22April_SC JulyQBR Final slide template-Futian_upshot Rev and Var - 200306-Revised-v2_Upshot Rev and Var - 200306-v11" xfId="479"/>
    <cellStyle name="_Asia_QbrSlides_Cust Health_22April_SC JulyQBR Final slide template-Futian_upshot Rev and Var - 200306-Revised-v2_Upshot Rev and Var - 200306-v11-elva" xfId="480"/>
    <cellStyle name="_Asia_QbrSlides_Cust Health_22April_SC JulyQBR Final slide template-Futian_upshot Rev and Var - 200306-Revised-v2_Upshot Rev and Var - 200306-v15" xfId="481"/>
    <cellStyle name="_Asia_QbrSlides_Cust Health_22April_SC JulyQBR Final slide template-Futian_upshot Rev and Var - 200306-Revised-v2_Upshot Rev and Var - 200306-v18" xfId="482"/>
    <cellStyle name="_Asia_QbrSlides_Cust Health_22April_SC JulyQBR Final slide template-Futian_upshot Rev and Var - 200306-Revised-v2_Upshot Rev and Var - 200306-v9  FOR lisa" xfId="483"/>
    <cellStyle name="_Asia_QbrSlides_Cust Health_22April_SC JulyQBR Final slide template-Futian_Upshot Rev and Var - 200306-v11" xfId="484"/>
    <cellStyle name="_Asia_QbrSlides_Cust Health_22April_SC JulyQBR Final slide template-Futian_Upshot Rev and Var - 200306-v11-elva" xfId="485"/>
    <cellStyle name="_Asia_QbrSlides_Cust Health_22April_SC JulyQBR Final slide template-Futian_Upshot Rev and Var - 200306-v15" xfId="486"/>
    <cellStyle name="_Asia_QbrSlides_Cust Health_22April_SC JulyQBR Final slide template-Futian_Upshot Rev and Var - 200306-v18" xfId="487"/>
    <cellStyle name="_Asia_QbrSlides_Cust Health_22April_SC JulyQBR Final slide template-Futian_Upshot Rev and Var - 200306-v6" xfId="488"/>
    <cellStyle name="_Asia_QbrSlides_Cust Health_22April_SC JulyQBR Final slide template-Futian_Upshot Rev and Var - 200306-v6_bridge 2006 bud w forecast" xfId="489"/>
    <cellStyle name="_Asia_QbrSlides_Cust Health_22April_SC JulyQBR Final slide template-Futian_Upshot Rev and Var - 200306-v6_Upshot Rev and Var - 200306-v11" xfId="490"/>
    <cellStyle name="_Asia_QbrSlides_Cust Health_22April_SC JulyQBR Final slide template-Futian_Upshot Rev and Var - 200306-v6_Upshot Rev and Var - 200306-v11-elva" xfId="491"/>
    <cellStyle name="_Asia_QbrSlides_Cust Health_22April_SC JulyQBR Final slide template-Futian_Upshot Rev and Var - 200306-v6_Upshot Rev and Var - 200306-v15" xfId="492"/>
    <cellStyle name="_Asia_QbrSlides_Cust Health_22April_SC JulyQBR Final slide template-Futian_Upshot Rev and Var - 200306-v6_Upshot Rev and Var - 200306-v18" xfId="493"/>
    <cellStyle name="_Asia_QbrSlides_Cust Health_22April_SC JulyQBR Final slide template-Futian_Upshot Rev and Var - 200306-v6_Upshot Rev and Var - 200306-v9  FOR lisa" xfId="494"/>
    <cellStyle name="_Asia_QbrSlides_Cust Health_22April_SC JulyQBR Final slide template-Futian_Upshot Rev and Var - 200306-v9  FOR lisa" xfId="495"/>
    <cellStyle name="_Asia_QbrSlides_Cust Health_22April_SC JulyQBR Final slide template-Shenzhen" xfId="496"/>
    <cellStyle name="_Asia_QbrSlides_Cust Health_22April_SC JulyQBR Final slide template-Shenzhen_AMD pricing version 2" xfId="497"/>
    <cellStyle name="_Asia_QbrSlides_Cust Health_22April_SC JulyQBR Final slide template-Shenzhen_Asia Budget 06 vs 05 Rev VAR with Asia Based Clients" xfId="498"/>
    <cellStyle name="_Asia_QbrSlides_Cust Health_22April_SC JulyQBR Final slide template-Shenzhen_Asia Budget 06 vs 05 Rev VAR with Asia Based Clients_bridge 2006 bud w forecast" xfId="499"/>
    <cellStyle name="_Asia_QbrSlides_Cust Health_22April_SC JulyQBR Final slide template-Shenzhen_Asia Budget 06 vs 05 Rev VAR with Asia Based Clients_upshot Rev and Var - 200306-Revised-v2" xfId="500"/>
    <cellStyle name="_Asia_QbrSlides_Cust Health_22April_SC JulyQBR Final slide template-Shenzhen_Asia Budget 06 vs 05 Rev VAR with Asia Based Clients_upshot Rev and Var - 200306-Revised-v2_bridge 2006 bud w forecast" xfId="501"/>
    <cellStyle name="_Asia_QbrSlides_Cust Health_22April_SC JulyQBR Final slide template-Shenzhen_Asia Budget 06 vs 05 Rev VAR with Asia Based Clients_upshot Rev and Var - 200306-Revised-v2_Upshot Rev and Var - 200306-v11" xfId="502"/>
    <cellStyle name="_Asia_QbrSlides_Cust Health_22April_SC JulyQBR Final slide template-Shenzhen_Asia Budget 06 vs 05 Rev VAR with Asia Based Clients_upshot Rev and Var - 200306-Revised-v2_Upshot Rev and Var - 200306-v11-elva" xfId="503"/>
    <cellStyle name="_Asia_QbrSlides_Cust Health_22April_SC JulyQBR Final slide template-Shenzhen_Asia Budget 06 vs 05 Rev VAR with Asia Based Clients_upshot Rev and Var - 200306-Revised-v2_Upshot Rev and Var - 200306-v15" xfId="504"/>
    <cellStyle name="_Asia_QbrSlides_Cust Health_22April_SC JulyQBR Final slide template-Shenzhen_Asia Budget 06 vs 05 Rev VAR with Asia Based Clients_upshot Rev and Var - 200306-Revised-v2_Upshot Rev and Var - 200306-v18" xfId="505"/>
    <cellStyle name="_Asia_QbrSlides_Cust Health_22April_SC JulyQBR Final slide template-Shenzhen_Asia Budget 06 vs 05 Rev VAR with Asia Based Clients_upshot Rev and Var - 200306-Revised-v2_Upshot Rev and Var - 200306-v9  FOR lisa" xfId="506"/>
    <cellStyle name="_Asia_QbrSlides_Cust Health_22April_SC JulyQBR Final slide template-Shenzhen_Asia Budget 06 vs 05 Rev VAR with Asia Based Clients_Upshot Rev and Var - 200306-v11" xfId="507"/>
    <cellStyle name="_Asia_QbrSlides_Cust Health_22April_SC JulyQBR Final slide template-Shenzhen_Asia Budget 06 vs 05 Rev VAR with Asia Based Clients_Upshot Rev and Var - 200306-v11-elva" xfId="508"/>
    <cellStyle name="_Asia_QbrSlides_Cust Health_22April_SC JulyQBR Final slide template-Shenzhen_Asia Budget 06 vs 05 Rev VAR with Asia Based Clients_Upshot Rev and Var - 200306-v15" xfId="509"/>
    <cellStyle name="_Asia_QbrSlides_Cust Health_22April_SC JulyQBR Final slide template-Shenzhen_Asia Budget 06 vs 05 Rev VAR with Asia Based Clients_Upshot Rev and Var - 200306-v18" xfId="510"/>
    <cellStyle name="_Asia_QbrSlides_Cust Health_22April_SC JulyQBR Final slide template-Shenzhen_Asia Budget 06 vs 05 Rev VAR with Asia Based Clients_Upshot Rev and Var - 200306-v6" xfId="511"/>
    <cellStyle name="_Asia_QbrSlides_Cust Health_22April_SC JulyQBR Final slide template-Shenzhen_Asia Budget 06 vs 05 Rev VAR with Asia Based Clients_Upshot Rev and Var - 200306-v6_bridge 2006 bud w forecast" xfId="512"/>
    <cellStyle name="_Asia_QbrSlides_Cust Health_22April_SC JulyQBR Final slide template-Shenzhen_Asia Budget 06 vs 05 Rev VAR with Asia Based Clients_Upshot Rev and Var - 200306-v6_Upshot Rev and Var - 200306-v11" xfId="513"/>
    <cellStyle name="_Asia_QbrSlides_Cust Health_22April_SC JulyQBR Final slide template-Shenzhen_Asia Budget 06 vs 05 Rev VAR with Asia Based Clients_Upshot Rev and Var - 200306-v6_Upshot Rev and Var - 200306-v11-elva" xfId="514"/>
    <cellStyle name="_Asia_QbrSlides_Cust Health_22April_SC JulyQBR Final slide template-Shenzhen_Asia Budget 06 vs 05 Rev VAR with Asia Based Clients_Upshot Rev and Var - 200306-v6_Upshot Rev and Var - 200306-v15" xfId="515"/>
    <cellStyle name="_Asia_QbrSlides_Cust Health_22April_SC JulyQBR Final slide template-Shenzhen_Asia Budget 06 vs 05 Rev VAR with Asia Based Clients_Upshot Rev and Var - 200306-v6_Upshot Rev and Var - 200306-v18" xfId="516"/>
    <cellStyle name="_Asia_QbrSlides_Cust Health_22April_SC JulyQBR Final slide template-Shenzhen_Asia Budget 06 vs 05 Rev VAR with Asia Based Clients_Upshot Rev and Var - 200306-v6_Upshot Rev and Var - 200306-v9  FOR lisa" xfId="517"/>
    <cellStyle name="_Asia_QbrSlides_Cust Health_22April_SC JulyQBR Final slide template-Shenzhen_Asia Budget 06 vs 05 Rev VAR with Asia Based Clients_Upshot Rev and Var - 200306-v9  FOR lisa" xfId="518"/>
    <cellStyle name="_Asia_QbrSlides_Cust Health_22April_SC JulyQBR Final slide template-Shenzhen_bridge 2006 bud w forecast" xfId="519"/>
    <cellStyle name="_Asia_QbrSlides_Cust Health_22April_SC JulyQBR Final slide template-Shenzhen_CAPEX FY2006_KS_0111" xfId="520"/>
    <cellStyle name="_Asia_QbrSlides_Cust Health_22April_SC JulyQBR Final slide template-Shenzhen_Trial Asia Budget 06 vs 05 Rev VAR with Asia Based Clients" xfId="521"/>
    <cellStyle name="_Asia_QbrSlides_Cust Health_22April_SC JulyQBR Final slide template-Shenzhen_Trial Asia Budget 06 vs 05 Rev VAR with Asia Based Clients_bridge 2006 bud w forecast" xfId="522"/>
    <cellStyle name="_Asia_QbrSlides_Cust Health_22April_SC JulyQBR Final slide template-Shenzhen_Trial Asia Budget 06 vs 05 Rev VAR with Asia Based Clients_upshot Rev and Var - 200306-Revised-v2" xfId="523"/>
    <cellStyle name="_Asia_QbrSlides_Cust Health_22April_SC JulyQBR Final slide template-Shenzhen_Trial Asia Budget 06 vs 05 Rev VAR with Asia Based Clients_upshot Rev and Var - 200306-Revised-v2_bridge 2006 bud w forecast" xfId="524"/>
    <cellStyle name="_Asia_QbrSlides_Cust Health_22April_SC JulyQBR Final slide template-Shenzhen_Trial Asia Budget 06 vs 05 Rev VAR with Asia Based Clients_upshot Rev and Var - 200306-Revised-v2_Upshot Rev and Var - 200306-v11" xfId="525"/>
    <cellStyle name="_Asia_QbrSlides_Cust Health_22April_SC JulyQBR Final slide template-Shenzhen_Trial Asia Budget 06 vs 05 Rev VAR with Asia Based Clients_upshot Rev and Var - 200306-Revised-v2_Upshot Rev and Var - 200306-v11-elva" xfId="526"/>
    <cellStyle name="_Asia_QbrSlides_Cust Health_22April_SC JulyQBR Final slide template-Shenzhen_Trial Asia Budget 06 vs 05 Rev VAR with Asia Based Clients_upshot Rev and Var - 200306-Revised-v2_Upshot Rev and Var - 200306-v15" xfId="527"/>
    <cellStyle name="_Asia_QbrSlides_Cust Health_22April_SC JulyQBR Final slide template-Shenzhen_Trial Asia Budget 06 vs 05 Rev VAR with Asia Based Clients_upshot Rev and Var - 200306-Revised-v2_Upshot Rev and Var - 200306-v18" xfId="528"/>
    <cellStyle name="_Asia_QbrSlides_Cust Health_22April_SC JulyQBR Final slide template-Shenzhen_Trial Asia Budget 06 vs 05 Rev VAR with Asia Based Clients_upshot Rev and Var - 200306-Revised-v2_Upshot Rev and Var - 200306-v9  FOR lisa" xfId="529"/>
    <cellStyle name="_Asia_QbrSlides_Cust Health_22April_SC JulyQBR Final slide template-Shenzhen_Trial Asia Budget 06 vs 05 Rev VAR with Asia Based Clients_Upshot Rev and Var - 200306-v11" xfId="530"/>
    <cellStyle name="_Asia_QbrSlides_Cust Health_22April_SC JulyQBR Final slide template-Shenzhen_Trial Asia Budget 06 vs 05 Rev VAR with Asia Based Clients_Upshot Rev and Var - 200306-v11-elva" xfId="531"/>
    <cellStyle name="_Asia_QbrSlides_Cust Health_22April_SC JulyQBR Final slide template-Shenzhen_Trial Asia Budget 06 vs 05 Rev VAR with Asia Based Clients_Upshot Rev and Var - 200306-v15" xfId="532"/>
    <cellStyle name="_Asia_QbrSlides_Cust Health_22April_SC JulyQBR Final slide template-Shenzhen_Trial Asia Budget 06 vs 05 Rev VAR with Asia Based Clients_Upshot Rev and Var - 200306-v18" xfId="533"/>
    <cellStyle name="_Asia_QbrSlides_Cust Health_22April_SC JulyQBR Final slide template-Shenzhen_Trial Asia Budget 06 vs 05 Rev VAR with Asia Based Clients_Upshot Rev and Var - 200306-v6" xfId="534"/>
    <cellStyle name="_Asia_QbrSlides_Cust Health_22April_SC JulyQBR Final slide template-Shenzhen_Trial Asia Budget 06 vs 05 Rev VAR with Asia Based Clients_Upshot Rev and Var - 200306-v6_bridge 2006 bud w forecast" xfId="535"/>
    <cellStyle name="_Asia_QbrSlides_Cust Health_22April_SC JulyQBR Final slide template-Shenzhen_Trial Asia Budget 06 vs 05 Rev VAR with Asia Based Clients_Upshot Rev and Var - 200306-v6_Upshot Rev and Var - 200306-v11" xfId="536"/>
    <cellStyle name="_Asia_QbrSlides_Cust Health_22April_SC JulyQBR Final slide template-Shenzhen_Trial Asia Budget 06 vs 05 Rev VAR with Asia Based Clients_Upshot Rev and Var - 200306-v6_Upshot Rev and Var - 200306-v11-elva" xfId="537"/>
    <cellStyle name="_Asia_QbrSlides_Cust Health_22April_SC JulyQBR Final slide template-Shenzhen_Trial Asia Budget 06 vs 05 Rev VAR with Asia Based Clients_Upshot Rev and Var - 200306-v6_Upshot Rev and Var - 200306-v15" xfId="538"/>
    <cellStyle name="_Asia_QbrSlides_Cust Health_22April_SC JulyQBR Final slide template-Shenzhen_Trial Asia Budget 06 vs 05 Rev VAR with Asia Based Clients_Upshot Rev and Var - 200306-v6_Upshot Rev and Var - 200306-v18" xfId="539"/>
    <cellStyle name="_Asia_QbrSlides_Cust Health_22April_SC JulyQBR Final slide template-Shenzhen_Trial Asia Budget 06 vs 05 Rev VAR with Asia Based Clients_Upshot Rev and Var - 200306-v6_Upshot Rev and Var - 200306-v9  FOR lisa" xfId="540"/>
    <cellStyle name="_Asia_QbrSlides_Cust Health_22April_SC JulyQBR Final slide template-Shenzhen_Trial Asia Budget 06 vs 05 Rev VAR with Asia Based Clients_Upshot Rev and Var - 200306-v9  FOR lisa" xfId="541"/>
    <cellStyle name="_Asia_QbrSlides_Cust Health_22April_SC JulyQBR Final slide template-Shenzhen_upshot Rev and Var - 200306-Revised-v2" xfId="542"/>
    <cellStyle name="_Asia_QbrSlides_Cust Health_22April_SC JulyQBR Final slide template-Shenzhen_upshot Rev and Var - 200306-Revised-v2_bridge 2006 bud w forecast" xfId="543"/>
    <cellStyle name="_Asia_QbrSlides_Cust Health_22April_SC JulyQBR Final slide template-Shenzhen_upshot Rev and Var - 200306-Revised-v2_Upshot Rev and Var - 200306-v11" xfId="544"/>
    <cellStyle name="_Asia_QbrSlides_Cust Health_22April_SC JulyQBR Final slide template-Shenzhen_upshot Rev and Var - 200306-Revised-v2_Upshot Rev and Var - 200306-v11-elva" xfId="545"/>
    <cellStyle name="_Asia_QbrSlides_Cust Health_22April_SC JulyQBR Final slide template-Shenzhen_upshot Rev and Var - 200306-Revised-v2_Upshot Rev and Var - 200306-v15" xfId="546"/>
    <cellStyle name="_Asia_QbrSlides_Cust Health_22April_SC JulyQBR Final slide template-Shenzhen_upshot Rev and Var - 200306-Revised-v2_Upshot Rev and Var - 200306-v18" xfId="547"/>
    <cellStyle name="_Asia_QbrSlides_Cust Health_22April_SC JulyQBR Final slide template-Shenzhen_upshot Rev and Var - 200306-Revised-v2_Upshot Rev and Var - 200306-v9  FOR lisa" xfId="548"/>
    <cellStyle name="_Asia_QbrSlides_Cust Health_22April_SC JulyQBR Final slide template-Shenzhen_Upshot Rev and Var - 200306-v11" xfId="549"/>
    <cellStyle name="_Asia_QbrSlides_Cust Health_22April_SC JulyQBR Final slide template-Shenzhen_Upshot Rev and Var - 200306-v11-elva" xfId="550"/>
    <cellStyle name="_Asia_QbrSlides_Cust Health_22April_SC JulyQBR Final slide template-Shenzhen_Upshot Rev and Var - 200306-v15" xfId="551"/>
    <cellStyle name="_Asia_QbrSlides_Cust Health_22April_SC JulyQBR Final slide template-Shenzhen_Upshot Rev and Var - 200306-v18" xfId="552"/>
    <cellStyle name="_Asia_QbrSlides_Cust Health_22April_SC JulyQBR Final slide template-Shenzhen_Upshot Rev and Var - 200306-v6" xfId="553"/>
    <cellStyle name="_Asia_QbrSlides_Cust Health_22April_SC JulyQBR Final slide template-Shenzhen_Upshot Rev and Var - 200306-v6_bridge 2006 bud w forecast" xfId="554"/>
    <cellStyle name="_Asia_QbrSlides_Cust Health_22April_SC JulyQBR Final slide template-Shenzhen_Upshot Rev and Var - 200306-v6_Upshot Rev and Var - 200306-v11" xfId="555"/>
    <cellStyle name="_Asia_QbrSlides_Cust Health_22April_SC JulyQBR Final slide template-Shenzhen_Upshot Rev and Var - 200306-v6_Upshot Rev and Var - 200306-v11-elva" xfId="556"/>
    <cellStyle name="_Asia_QbrSlides_Cust Health_22April_SC JulyQBR Final slide template-Shenzhen_Upshot Rev and Var - 200306-v6_Upshot Rev and Var - 200306-v15" xfId="557"/>
    <cellStyle name="_Asia_QbrSlides_Cust Health_22April_SC JulyQBR Final slide template-Shenzhen_Upshot Rev and Var - 200306-v6_Upshot Rev and Var - 200306-v18" xfId="558"/>
    <cellStyle name="_Asia_QbrSlides_Cust Health_22April_SC JulyQBR Final slide template-Shenzhen_Upshot Rev and Var - 200306-v6_Upshot Rev and Var - 200306-v9  FOR lisa" xfId="559"/>
    <cellStyle name="_Asia_QbrSlides_Cust Health_22April_SC JulyQBR Final slide template-Shenzhen_Upshot Rev and Var - 200306-v9  FOR lisa" xfId="560"/>
    <cellStyle name="_Asia_QbrSlides_Cust Health_22April_SC JulyQBR Final slide-Futian value1" xfId="561"/>
    <cellStyle name="_Asia_QbrSlides_Cust Health_22April_SC JulyQBR Final slide-Futian value1_AMD pricing version 2" xfId="562"/>
    <cellStyle name="_Asia_QbrSlides_Cust Health_22April_SC JulyQBR Final slide-Futian value1_Asia Budget 06 vs 05 Rev VAR with Asia Based Clients" xfId="563"/>
    <cellStyle name="_Asia_QbrSlides_Cust Health_22April_SC JulyQBR Final slide-Futian value1_Asia Budget 06 vs 05 Rev VAR with Asia Based Clients_bridge 2006 bud w forecast" xfId="564"/>
    <cellStyle name="_Asia_QbrSlides_Cust Health_22April_SC JulyQBR Final slide-Futian value1_Asia Budget 06 vs 05 Rev VAR with Asia Based Clients_upshot Rev and Var - 200306-Revised-v2" xfId="565"/>
    <cellStyle name="_Asia_QbrSlides_Cust Health_22April_SC JulyQBR Final slide-Futian value1_Asia Budget 06 vs 05 Rev VAR with Asia Based Clients_upshot Rev and Var - 200306-Revised-v2_bridge 2006 bud w forecast" xfId="566"/>
    <cellStyle name="_Asia_QbrSlides_Cust Health_22April_SC JulyQBR Final slide-Futian value1_Asia Budget 06 vs 05 Rev VAR with Asia Based Clients_upshot Rev and Var - 200306-Revised-v2_Upshot Rev and Var - 200306-v11" xfId="567"/>
    <cellStyle name="_Asia_QbrSlides_Cust Health_22April_SC JulyQBR Final slide-Futian value1_Asia Budget 06 vs 05 Rev VAR with Asia Based Clients_upshot Rev and Var - 200306-Revised-v2_Upshot Rev and Var - 200306-v11-elva" xfId="568"/>
    <cellStyle name="_Asia_QbrSlides_Cust Health_22April_SC JulyQBR Final slide-Futian value1_Asia Budget 06 vs 05 Rev VAR with Asia Based Clients_upshot Rev and Var - 200306-Revised-v2_Upshot Rev and Var - 200306-v15" xfId="569"/>
    <cellStyle name="_Asia_QbrSlides_Cust Health_22April_SC JulyQBR Final slide-Futian value1_Asia Budget 06 vs 05 Rev VAR with Asia Based Clients_upshot Rev and Var - 200306-Revised-v2_Upshot Rev and Var - 200306-v18" xfId="570"/>
    <cellStyle name="_Asia_QbrSlides_Cust Health_22April_SC JulyQBR Final slide-Futian value1_Asia Budget 06 vs 05 Rev VAR with Asia Based Clients_upshot Rev and Var - 200306-Revised-v2_Upshot Rev and Var - 200306-v9  FOR lisa" xfId="571"/>
    <cellStyle name="_Asia_QbrSlides_Cust Health_22April_SC JulyQBR Final slide-Futian value1_Asia Budget 06 vs 05 Rev VAR with Asia Based Clients_Upshot Rev and Var - 200306-v11" xfId="572"/>
    <cellStyle name="_Asia_QbrSlides_Cust Health_22April_SC JulyQBR Final slide-Futian value1_Asia Budget 06 vs 05 Rev VAR with Asia Based Clients_Upshot Rev and Var - 200306-v11-elva" xfId="573"/>
    <cellStyle name="_Asia_QbrSlides_Cust Health_22April_SC JulyQBR Final slide-Futian value1_Asia Budget 06 vs 05 Rev VAR with Asia Based Clients_Upshot Rev and Var - 200306-v15" xfId="574"/>
    <cellStyle name="_Asia_QbrSlides_Cust Health_22April_SC JulyQBR Final slide-Futian value1_Asia Budget 06 vs 05 Rev VAR with Asia Based Clients_Upshot Rev and Var - 200306-v18" xfId="575"/>
    <cellStyle name="_Asia_QbrSlides_Cust Health_22April_SC JulyQBR Final slide-Futian value1_Asia Budget 06 vs 05 Rev VAR with Asia Based Clients_Upshot Rev and Var - 200306-v6" xfId="576"/>
    <cellStyle name="_Asia_QbrSlides_Cust Health_22April_SC JulyQBR Final slide-Futian value1_Asia Budget 06 vs 05 Rev VAR with Asia Based Clients_Upshot Rev and Var - 200306-v6_bridge 2006 bud w forecast" xfId="577"/>
    <cellStyle name="_Asia_QbrSlides_Cust Health_22April_SC JulyQBR Final slide-Futian value1_Asia Budget 06 vs 05 Rev VAR with Asia Based Clients_Upshot Rev and Var - 200306-v6_Upshot Rev and Var - 200306-v11" xfId="578"/>
    <cellStyle name="_Asia_QbrSlides_Cust Health_22April_SC JulyQBR Final slide-Futian value1_Asia Budget 06 vs 05 Rev VAR with Asia Based Clients_Upshot Rev and Var - 200306-v6_Upshot Rev and Var - 200306-v11-elva" xfId="579"/>
    <cellStyle name="_Asia_QbrSlides_Cust Health_22April_SC JulyQBR Final slide-Futian value1_Asia Budget 06 vs 05 Rev VAR with Asia Based Clients_Upshot Rev and Var - 200306-v6_Upshot Rev and Var - 200306-v15" xfId="580"/>
    <cellStyle name="_Asia_QbrSlides_Cust Health_22April_SC JulyQBR Final slide-Futian value1_Asia Budget 06 vs 05 Rev VAR with Asia Based Clients_Upshot Rev and Var - 200306-v6_Upshot Rev and Var - 200306-v18" xfId="581"/>
    <cellStyle name="_Asia_QbrSlides_Cust Health_22April_SC JulyQBR Final slide-Futian value1_Asia Budget 06 vs 05 Rev VAR with Asia Based Clients_Upshot Rev and Var - 200306-v6_Upshot Rev and Var - 200306-v9  FOR lisa" xfId="582"/>
    <cellStyle name="_Asia_QbrSlides_Cust Health_22April_SC JulyQBR Final slide-Futian value1_Asia Budget 06 vs 05 Rev VAR with Asia Based Clients_Upshot Rev and Var - 200306-v9  FOR lisa" xfId="583"/>
    <cellStyle name="_Asia_QbrSlides_Cust Health_22April_SC JulyQBR Final slide-Futian value1_bridge 2006 bud w forecast" xfId="584"/>
    <cellStyle name="_Asia_QbrSlides_Cust Health_22April_SC JulyQBR Final slide-Futian value1_CAPEX FY2006_KS_0111" xfId="585"/>
    <cellStyle name="_Asia_QbrSlides_Cust Health_22April_SC JulyQBR Final slide-Futian value1_Trial Asia Budget 06 vs 05 Rev VAR with Asia Based Clients" xfId="586"/>
    <cellStyle name="_Asia_QbrSlides_Cust Health_22April_SC JulyQBR Final slide-Futian value1_Trial Asia Budget 06 vs 05 Rev VAR with Asia Based Clients_bridge 2006 bud w forecast" xfId="587"/>
    <cellStyle name="_Asia_QbrSlides_Cust Health_22April_SC JulyQBR Final slide-Futian value1_Trial Asia Budget 06 vs 05 Rev VAR with Asia Based Clients_upshot Rev and Var - 200306-Revised-v2" xfId="588"/>
    <cellStyle name="_Asia_QbrSlides_Cust Health_22April_SC JulyQBR Final slide-Futian value1_Trial Asia Budget 06 vs 05 Rev VAR with Asia Based Clients_upshot Rev and Var - 200306-Revised-v2_bridge 2006 bud w forecast" xfId="589"/>
    <cellStyle name="_Asia_QbrSlides_Cust Health_22April_SC JulyQBR Final slide-Futian value1_Trial Asia Budget 06 vs 05 Rev VAR with Asia Based Clients_upshot Rev and Var - 200306-Revised-v2_Upshot Rev and Var - 200306-v11" xfId="590"/>
    <cellStyle name="_Asia_QbrSlides_Cust Health_22April_SC JulyQBR Final slide-Futian value1_Trial Asia Budget 06 vs 05 Rev VAR with Asia Based Clients_upshot Rev and Var - 200306-Revised-v2_Upshot Rev and Var - 200306-v11-elva" xfId="591"/>
    <cellStyle name="_Asia_QbrSlides_Cust Health_22April_SC JulyQBR Final slide-Futian value1_Trial Asia Budget 06 vs 05 Rev VAR with Asia Based Clients_upshot Rev and Var - 200306-Revised-v2_Upshot Rev and Var - 200306-v15" xfId="592"/>
    <cellStyle name="_Asia_QbrSlides_Cust Health_22April_SC JulyQBR Final slide-Futian value1_Trial Asia Budget 06 vs 05 Rev VAR with Asia Based Clients_upshot Rev and Var - 200306-Revised-v2_Upshot Rev and Var - 200306-v18" xfId="593"/>
    <cellStyle name="_Asia_QbrSlides_Cust Health_22April_SC JulyQBR Final slide-Futian value1_Trial Asia Budget 06 vs 05 Rev VAR with Asia Based Clients_upshot Rev and Var - 200306-Revised-v2_Upshot Rev and Var - 200306-v9  FOR lisa" xfId="594"/>
    <cellStyle name="_Asia_QbrSlides_Cust Health_22April_SC JulyQBR Final slide-Futian value1_Trial Asia Budget 06 vs 05 Rev VAR with Asia Based Clients_Upshot Rev and Var - 200306-v11" xfId="595"/>
    <cellStyle name="_Asia_QbrSlides_Cust Health_22April_SC JulyQBR Final slide-Futian value1_Trial Asia Budget 06 vs 05 Rev VAR with Asia Based Clients_Upshot Rev and Var - 200306-v11-elva" xfId="596"/>
    <cellStyle name="_Asia_QbrSlides_Cust Health_22April_SC JulyQBR Final slide-Futian value1_Trial Asia Budget 06 vs 05 Rev VAR with Asia Based Clients_Upshot Rev and Var - 200306-v15" xfId="597"/>
    <cellStyle name="_Asia_QbrSlides_Cust Health_22April_SC JulyQBR Final slide-Futian value1_Trial Asia Budget 06 vs 05 Rev VAR with Asia Based Clients_Upshot Rev and Var - 200306-v18" xfId="598"/>
    <cellStyle name="_Asia_QbrSlides_Cust Health_22April_SC JulyQBR Final slide-Futian value1_Trial Asia Budget 06 vs 05 Rev VAR with Asia Based Clients_Upshot Rev and Var - 200306-v6" xfId="599"/>
    <cellStyle name="_Asia_QbrSlides_Cust Health_22April_SC JulyQBR Final slide-Futian value1_Trial Asia Budget 06 vs 05 Rev VAR with Asia Based Clients_Upshot Rev and Var - 200306-v6_bridge 2006 bud w forecast" xfId="600"/>
    <cellStyle name="_Asia_QbrSlides_Cust Health_22April_SC JulyQBR Final slide-Futian value1_Trial Asia Budget 06 vs 05 Rev VAR with Asia Based Clients_Upshot Rev and Var - 200306-v6_Upshot Rev and Var - 200306-v11" xfId="601"/>
    <cellStyle name="_Asia_QbrSlides_Cust Health_22April_SC JulyQBR Final slide-Futian value1_Trial Asia Budget 06 vs 05 Rev VAR with Asia Based Clients_Upshot Rev and Var - 200306-v6_Upshot Rev and Var - 200306-v11-elva" xfId="602"/>
    <cellStyle name="_Asia_QbrSlides_Cust Health_22April_SC JulyQBR Final slide-Futian value1_Trial Asia Budget 06 vs 05 Rev VAR with Asia Based Clients_Upshot Rev and Var - 200306-v6_Upshot Rev and Var - 200306-v15" xfId="603"/>
    <cellStyle name="_Asia_QbrSlides_Cust Health_22April_SC JulyQBR Final slide-Futian value1_Trial Asia Budget 06 vs 05 Rev VAR with Asia Based Clients_Upshot Rev and Var - 200306-v6_Upshot Rev and Var - 200306-v18" xfId="604"/>
    <cellStyle name="_Asia_QbrSlides_Cust Health_22April_SC JulyQBR Final slide-Futian value1_Trial Asia Budget 06 vs 05 Rev VAR with Asia Based Clients_Upshot Rev and Var - 200306-v6_Upshot Rev and Var - 200306-v9  FOR lisa" xfId="605"/>
    <cellStyle name="_Asia_QbrSlides_Cust Health_22April_SC JulyQBR Final slide-Futian value1_Trial Asia Budget 06 vs 05 Rev VAR with Asia Based Clients_Upshot Rev and Var - 200306-v9  FOR lisa" xfId="606"/>
    <cellStyle name="_Asia_QbrSlides_Cust Health_22April_SC JulyQBR Final slide-Futian value1_upshot Rev and Var - 200306-Revised-v2" xfId="607"/>
    <cellStyle name="_Asia_QbrSlides_Cust Health_22April_SC JulyQBR Final slide-Futian value1_upshot Rev and Var - 200306-Revised-v2_bridge 2006 bud w forecast" xfId="608"/>
    <cellStyle name="_Asia_QbrSlides_Cust Health_22April_SC JulyQBR Final slide-Futian value1_upshot Rev and Var - 200306-Revised-v2_Upshot Rev and Var - 200306-v11" xfId="609"/>
    <cellStyle name="_Asia_QbrSlides_Cust Health_22April_SC JulyQBR Final slide-Futian value1_upshot Rev and Var - 200306-Revised-v2_Upshot Rev and Var - 200306-v11-elva" xfId="610"/>
    <cellStyle name="_Asia_QbrSlides_Cust Health_22April_SC JulyQBR Final slide-Futian value1_upshot Rev and Var - 200306-Revised-v2_Upshot Rev and Var - 200306-v15" xfId="611"/>
    <cellStyle name="_Asia_QbrSlides_Cust Health_22April_SC JulyQBR Final slide-Futian value1_upshot Rev and Var - 200306-Revised-v2_Upshot Rev and Var - 200306-v18" xfId="612"/>
    <cellStyle name="_Asia_QbrSlides_Cust Health_22April_SC JulyQBR Final slide-Futian value1_upshot Rev and Var - 200306-Revised-v2_Upshot Rev and Var - 200306-v9  FOR lisa" xfId="613"/>
    <cellStyle name="_Asia_QbrSlides_Cust Health_22April_SC JulyQBR Final slide-Futian value1_Upshot Rev and Var - 200306-v11" xfId="614"/>
    <cellStyle name="_Asia_QbrSlides_Cust Health_22April_SC JulyQBR Final slide-Futian value1_Upshot Rev and Var - 200306-v11-elva" xfId="615"/>
    <cellStyle name="_Asia_QbrSlides_Cust Health_22April_SC JulyQBR Final slide-Futian value1_Upshot Rev and Var - 200306-v15" xfId="616"/>
    <cellStyle name="_Asia_QbrSlides_Cust Health_22April_SC JulyQBR Final slide-Futian value1_Upshot Rev and Var - 200306-v18" xfId="617"/>
    <cellStyle name="_Asia_QbrSlides_Cust Health_22April_SC JulyQBR Final slide-Futian value1_Upshot Rev and Var - 200306-v6" xfId="618"/>
    <cellStyle name="_Asia_QbrSlides_Cust Health_22April_SC JulyQBR Final slide-Futian value1_Upshot Rev and Var - 200306-v6_bridge 2006 bud w forecast" xfId="619"/>
    <cellStyle name="_Asia_QbrSlides_Cust Health_22April_SC JulyQBR Final slide-Futian value1_Upshot Rev and Var - 200306-v6_Upshot Rev and Var - 200306-v11" xfId="620"/>
    <cellStyle name="_Asia_QbrSlides_Cust Health_22April_SC JulyQBR Final slide-Futian value1_Upshot Rev and Var - 200306-v6_Upshot Rev and Var - 200306-v11-elva" xfId="621"/>
    <cellStyle name="_Asia_QbrSlides_Cust Health_22April_SC JulyQBR Final slide-Futian value1_Upshot Rev and Var - 200306-v6_Upshot Rev and Var - 200306-v15" xfId="622"/>
    <cellStyle name="_Asia_QbrSlides_Cust Health_22April_SC JulyQBR Final slide-Futian value1_Upshot Rev and Var - 200306-v6_Upshot Rev and Var - 200306-v18" xfId="623"/>
    <cellStyle name="_Asia_QbrSlides_Cust Health_22April_SC JulyQBR Final slide-Futian value1_Upshot Rev and Var - 200306-v6_Upshot Rev and Var - 200306-v9  FOR lisa" xfId="624"/>
    <cellStyle name="_Asia_QbrSlides_Cust Health_22April_SC JulyQBR Final slide-Futian value1_Upshot Rev and Var - 200306-v9  FOR lisa" xfId="625"/>
    <cellStyle name="_Asia_QbrSlides_Cust Health_22April_SC JulyQBR Final slide-ShenZhen value1" xfId="626"/>
    <cellStyle name="_Asia_QbrSlides_Cust Health_22April_SC JulyQBR Final slide-ShenZhen value1_AMD pricing version 2" xfId="627"/>
    <cellStyle name="_Asia_QbrSlides_Cust Health_22April_SC JulyQBR Final slide-ShenZhen value1_Asia Budget 06 vs 05 Rev VAR with Asia Based Clients" xfId="628"/>
    <cellStyle name="_Asia_QbrSlides_Cust Health_22April_SC JulyQBR Final slide-ShenZhen value1_Asia Budget 06 vs 05 Rev VAR with Asia Based Clients_bridge 2006 bud w forecast" xfId="629"/>
    <cellStyle name="_Asia_QbrSlides_Cust Health_22April_SC JulyQBR Final slide-ShenZhen value1_Asia Budget 06 vs 05 Rev VAR with Asia Based Clients_upshot Rev and Var - 200306-Revised-v2" xfId="630"/>
    <cellStyle name="_Asia_QbrSlides_Cust Health_22April_SC JulyQBR Final slide-ShenZhen value1_Asia Budget 06 vs 05 Rev VAR with Asia Based Clients_upshot Rev and Var - 200306-Revised-v2_bridge 2006 bud w forecast" xfId="631"/>
    <cellStyle name="_Asia_QbrSlides_Cust Health_22April_SC JulyQBR Final slide-ShenZhen value1_Asia Budget 06 vs 05 Rev VAR with Asia Based Clients_upshot Rev and Var - 200306-Revised-v2_Upshot Rev and Var - 200306-v11" xfId="632"/>
    <cellStyle name="_Asia_QbrSlides_Cust Health_22April_SC JulyQBR Final slide-ShenZhen value1_Asia Budget 06 vs 05 Rev VAR with Asia Based Clients_upshot Rev and Var - 200306-Revised-v2_Upshot Rev and Var - 200306-v11-elva" xfId="633"/>
    <cellStyle name="_Asia_QbrSlides_Cust Health_22April_SC JulyQBR Final slide-ShenZhen value1_Asia Budget 06 vs 05 Rev VAR with Asia Based Clients_upshot Rev and Var - 200306-Revised-v2_Upshot Rev and Var - 200306-v15" xfId="634"/>
    <cellStyle name="_Asia_QbrSlides_Cust Health_22April_SC JulyQBR Final slide-ShenZhen value1_Asia Budget 06 vs 05 Rev VAR with Asia Based Clients_upshot Rev and Var - 200306-Revised-v2_Upshot Rev and Var - 200306-v18" xfId="635"/>
    <cellStyle name="_Asia_QbrSlides_Cust Health_22April_SC JulyQBR Final slide-ShenZhen value1_Asia Budget 06 vs 05 Rev VAR with Asia Based Clients_upshot Rev and Var - 200306-Revised-v2_Upshot Rev and Var - 200306-v9  FOR lisa" xfId="636"/>
    <cellStyle name="_Asia_QbrSlides_Cust Health_22April_SC JulyQBR Final slide-ShenZhen value1_Asia Budget 06 vs 05 Rev VAR with Asia Based Clients_Upshot Rev and Var - 200306-v11" xfId="637"/>
    <cellStyle name="_Asia_QbrSlides_Cust Health_22April_SC JulyQBR Final slide-ShenZhen value1_Asia Budget 06 vs 05 Rev VAR with Asia Based Clients_Upshot Rev and Var - 200306-v11-elva" xfId="638"/>
    <cellStyle name="_Asia_QbrSlides_Cust Health_22April_SC JulyQBR Final slide-ShenZhen value1_Asia Budget 06 vs 05 Rev VAR with Asia Based Clients_Upshot Rev and Var - 200306-v15" xfId="639"/>
    <cellStyle name="_Asia_QbrSlides_Cust Health_22April_SC JulyQBR Final slide-ShenZhen value1_Asia Budget 06 vs 05 Rev VAR with Asia Based Clients_Upshot Rev and Var - 200306-v18" xfId="640"/>
    <cellStyle name="_Asia_QbrSlides_Cust Health_22April_SC JulyQBR Final slide-ShenZhen value1_Asia Budget 06 vs 05 Rev VAR with Asia Based Clients_Upshot Rev and Var - 200306-v6" xfId="641"/>
    <cellStyle name="_Asia_QbrSlides_Cust Health_22April_SC JulyQBR Final slide-ShenZhen value1_Asia Budget 06 vs 05 Rev VAR with Asia Based Clients_Upshot Rev and Var - 200306-v6_bridge 2006 bud w forecast" xfId="642"/>
    <cellStyle name="_Asia_QbrSlides_Cust Health_22April_SC JulyQBR Final slide-ShenZhen value1_Asia Budget 06 vs 05 Rev VAR with Asia Based Clients_Upshot Rev and Var - 200306-v6_Upshot Rev and Var - 200306-v11" xfId="643"/>
    <cellStyle name="_Asia_QbrSlides_Cust Health_22April_SC JulyQBR Final slide-ShenZhen value1_Asia Budget 06 vs 05 Rev VAR with Asia Based Clients_Upshot Rev and Var - 200306-v6_Upshot Rev and Var - 200306-v11-elva" xfId="644"/>
    <cellStyle name="_Asia_QbrSlides_Cust Health_22April_SC JulyQBR Final slide-ShenZhen value1_Asia Budget 06 vs 05 Rev VAR with Asia Based Clients_Upshot Rev and Var - 200306-v6_Upshot Rev and Var - 200306-v15" xfId="645"/>
    <cellStyle name="_Asia_QbrSlides_Cust Health_22April_SC JulyQBR Final slide-ShenZhen value1_Asia Budget 06 vs 05 Rev VAR with Asia Based Clients_Upshot Rev and Var - 200306-v6_Upshot Rev and Var - 200306-v18" xfId="646"/>
    <cellStyle name="_Asia_QbrSlides_Cust Health_22April_SC JulyQBR Final slide-ShenZhen value1_Asia Budget 06 vs 05 Rev VAR with Asia Based Clients_Upshot Rev and Var - 200306-v6_Upshot Rev and Var - 200306-v9  FOR lisa" xfId="647"/>
    <cellStyle name="_Asia_QbrSlides_Cust Health_22April_SC JulyQBR Final slide-ShenZhen value1_Asia Budget 06 vs 05 Rev VAR with Asia Based Clients_Upshot Rev and Var - 200306-v9  FOR lisa" xfId="648"/>
    <cellStyle name="_Asia_QbrSlides_Cust Health_22April_SC JulyQBR Final slide-ShenZhen value1_bridge 2006 bud w forecast" xfId="649"/>
    <cellStyle name="_Asia_QbrSlides_Cust Health_22April_SC JulyQBR Final slide-ShenZhen value1_CAPEX FY2006_KS_0111" xfId="650"/>
    <cellStyle name="_Asia_QbrSlides_Cust Health_22April_SC JulyQBR Final slide-ShenZhen value1_Trial Asia Budget 06 vs 05 Rev VAR with Asia Based Clients" xfId="651"/>
    <cellStyle name="_Asia_QbrSlides_Cust Health_22April_SC JulyQBR Final slide-ShenZhen value1_Trial Asia Budget 06 vs 05 Rev VAR with Asia Based Clients_bridge 2006 bud w forecast" xfId="652"/>
    <cellStyle name="_Asia_QbrSlides_Cust Health_22April_SC JulyQBR Final slide-ShenZhen value1_Trial Asia Budget 06 vs 05 Rev VAR with Asia Based Clients_upshot Rev and Var - 200306-Revised-v2" xfId="653"/>
    <cellStyle name="_Asia_QbrSlides_Cust Health_22April_SC JulyQBR Final slide-ShenZhen value1_Trial Asia Budget 06 vs 05 Rev VAR with Asia Based Clients_upshot Rev and Var - 200306-Revised-v2_bridge 2006 bud w forecast" xfId="654"/>
    <cellStyle name="_Asia_QbrSlides_Cust Health_22April_SC JulyQBR Final slide-ShenZhen value1_Trial Asia Budget 06 vs 05 Rev VAR with Asia Based Clients_upshot Rev and Var - 200306-Revised-v2_Upshot Rev and Var - 200306-v11" xfId="655"/>
    <cellStyle name="_Asia_QbrSlides_Cust Health_22April_SC JulyQBR Final slide-ShenZhen value1_Trial Asia Budget 06 vs 05 Rev VAR with Asia Based Clients_upshot Rev and Var - 200306-Revised-v2_Upshot Rev and Var - 200306-v11-elva" xfId="656"/>
    <cellStyle name="_Asia_QbrSlides_Cust Health_22April_SC JulyQBR Final slide-ShenZhen value1_Trial Asia Budget 06 vs 05 Rev VAR with Asia Based Clients_upshot Rev and Var - 200306-Revised-v2_Upshot Rev and Var - 200306-v15" xfId="657"/>
    <cellStyle name="_Asia_QbrSlides_Cust Health_22April_SC JulyQBR Final slide-ShenZhen value1_Trial Asia Budget 06 vs 05 Rev VAR with Asia Based Clients_upshot Rev and Var - 200306-Revised-v2_Upshot Rev and Var - 200306-v18" xfId="658"/>
    <cellStyle name="_Asia_QbrSlides_Cust Health_22April_SC JulyQBR Final slide-ShenZhen value1_Trial Asia Budget 06 vs 05 Rev VAR with Asia Based Clients_upshot Rev and Var - 200306-Revised-v2_Upshot Rev and Var - 200306-v9  FOR lisa" xfId="659"/>
    <cellStyle name="_Asia_QbrSlides_Cust Health_22April_SC JulyQBR Final slide-ShenZhen value1_Trial Asia Budget 06 vs 05 Rev VAR with Asia Based Clients_Upshot Rev and Var - 200306-v11" xfId="660"/>
    <cellStyle name="_Asia_QbrSlides_Cust Health_22April_SC JulyQBR Final slide-ShenZhen value1_Trial Asia Budget 06 vs 05 Rev VAR with Asia Based Clients_Upshot Rev and Var - 200306-v11-elva" xfId="661"/>
    <cellStyle name="_Asia_QbrSlides_Cust Health_22April_SC JulyQBR Final slide-ShenZhen value1_Trial Asia Budget 06 vs 05 Rev VAR with Asia Based Clients_Upshot Rev and Var - 200306-v15" xfId="662"/>
    <cellStyle name="_Asia_QbrSlides_Cust Health_22April_SC JulyQBR Final slide-ShenZhen value1_Trial Asia Budget 06 vs 05 Rev VAR with Asia Based Clients_Upshot Rev and Var - 200306-v18" xfId="663"/>
    <cellStyle name="_Asia_QbrSlides_Cust Health_22April_SC JulyQBR Final slide-ShenZhen value1_Trial Asia Budget 06 vs 05 Rev VAR with Asia Based Clients_Upshot Rev and Var - 200306-v6" xfId="664"/>
    <cellStyle name="_Asia_QbrSlides_Cust Health_22April_SC JulyQBR Final slide-ShenZhen value1_Trial Asia Budget 06 vs 05 Rev VAR with Asia Based Clients_Upshot Rev and Var - 200306-v6_bridge 2006 bud w forecast" xfId="665"/>
    <cellStyle name="_Asia_QbrSlides_Cust Health_22April_SC JulyQBR Final slide-ShenZhen value1_Trial Asia Budget 06 vs 05 Rev VAR with Asia Based Clients_Upshot Rev and Var - 200306-v6_Upshot Rev and Var - 200306-v11" xfId="666"/>
    <cellStyle name="_Asia_QbrSlides_Cust Health_22April_SC JulyQBR Final slide-ShenZhen value1_Trial Asia Budget 06 vs 05 Rev VAR with Asia Based Clients_Upshot Rev and Var - 200306-v6_Upshot Rev and Var - 200306-v11-elva" xfId="667"/>
    <cellStyle name="_Asia_QbrSlides_Cust Health_22April_SC JulyQBR Final slide-ShenZhen value1_Trial Asia Budget 06 vs 05 Rev VAR with Asia Based Clients_Upshot Rev and Var - 200306-v6_Upshot Rev and Var - 200306-v15" xfId="668"/>
    <cellStyle name="_Asia_QbrSlides_Cust Health_22April_SC JulyQBR Final slide-ShenZhen value1_Trial Asia Budget 06 vs 05 Rev VAR with Asia Based Clients_Upshot Rev and Var - 200306-v6_Upshot Rev and Var - 200306-v18" xfId="669"/>
    <cellStyle name="_Asia_QbrSlides_Cust Health_22April_SC JulyQBR Final slide-ShenZhen value1_Trial Asia Budget 06 vs 05 Rev VAR with Asia Based Clients_Upshot Rev and Var - 200306-v6_Upshot Rev and Var - 200306-v9  FOR lisa" xfId="670"/>
    <cellStyle name="_Asia_QbrSlides_Cust Health_22April_SC JulyQBR Final slide-ShenZhen value1_Trial Asia Budget 06 vs 05 Rev VAR with Asia Based Clients_Upshot Rev and Var - 200306-v9  FOR lisa" xfId="671"/>
    <cellStyle name="_Asia_QbrSlides_Cust Health_22April_SC JulyQBR Final slide-ShenZhen value1_upshot Rev and Var - 200306-Revised-v2" xfId="672"/>
    <cellStyle name="_Asia_QbrSlides_Cust Health_22April_SC JulyQBR Final slide-ShenZhen value1_upshot Rev and Var - 200306-Revised-v2_bridge 2006 bud w forecast" xfId="673"/>
    <cellStyle name="_Asia_QbrSlides_Cust Health_22April_SC JulyQBR Final slide-ShenZhen value1_upshot Rev and Var - 200306-Revised-v2_Upshot Rev and Var - 200306-v11" xfId="674"/>
    <cellStyle name="_Asia_QbrSlides_Cust Health_22April_SC JulyQBR Final slide-ShenZhen value1_upshot Rev and Var - 200306-Revised-v2_Upshot Rev and Var - 200306-v11-elva" xfId="675"/>
    <cellStyle name="_Asia_QbrSlides_Cust Health_22April_SC JulyQBR Final slide-ShenZhen value1_upshot Rev and Var - 200306-Revised-v2_Upshot Rev and Var - 200306-v15" xfId="676"/>
    <cellStyle name="_Asia_QbrSlides_Cust Health_22April_SC JulyQBR Final slide-ShenZhen value1_upshot Rev and Var - 200306-Revised-v2_Upshot Rev and Var - 200306-v18" xfId="677"/>
    <cellStyle name="_Asia_QbrSlides_Cust Health_22April_SC JulyQBR Final slide-ShenZhen value1_upshot Rev and Var - 200306-Revised-v2_Upshot Rev and Var - 200306-v9  FOR lisa" xfId="678"/>
    <cellStyle name="_Asia_QbrSlides_Cust Health_22April_SC JulyQBR Final slide-ShenZhen value1_Upshot Rev and Var - 200306-v11" xfId="679"/>
    <cellStyle name="_Asia_QbrSlides_Cust Health_22April_SC JulyQBR Final slide-ShenZhen value1_Upshot Rev and Var - 200306-v11-elva" xfId="680"/>
    <cellStyle name="_Asia_QbrSlides_Cust Health_22April_SC JulyQBR Final slide-ShenZhen value1_Upshot Rev and Var - 200306-v15" xfId="681"/>
    <cellStyle name="_Asia_QbrSlides_Cust Health_22April_SC JulyQBR Final slide-ShenZhen value1_Upshot Rev and Var - 200306-v18" xfId="682"/>
    <cellStyle name="_Asia_QbrSlides_Cust Health_22April_SC JulyQBR Final slide-ShenZhen value1_Upshot Rev and Var - 200306-v6" xfId="683"/>
    <cellStyle name="_Asia_QbrSlides_Cust Health_22April_SC JulyQBR Final slide-ShenZhen value1_Upshot Rev and Var - 200306-v6_bridge 2006 bud w forecast" xfId="684"/>
    <cellStyle name="_Asia_QbrSlides_Cust Health_22April_SC JulyQBR Final slide-ShenZhen value1_Upshot Rev and Var - 200306-v6_Upshot Rev and Var - 200306-v11" xfId="685"/>
    <cellStyle name="_Asia_QbrSlides_Cust Health_22April_SC JulyQBR Final slide-ShenZhen value1_Upshot Rev and Var - 200306-v6_Upshot Rev and Var - 200306-v11-elva" xfId="686"/>
    <cellStyle name="_Asia_QbrSlides_Cust Health_22April_SC JulyQBR Final slide-ShenZhen value1_Upshot Rev and Var - 200306-v6_Upshot Rev and Var - 200306-v15" xfId="687"/>
    <cellStyle name="_Asia_QbrSlides_Cust Health_22April_SC JulyQBR Final slide-ShenZhen value1_Upshot Rev and Var - 200306-v6_Upshot Rev and Var - 200306-v18" xfId="688"/>
    <cellStyle name="_Asia_QbrSlides_Cust Health_22April_SC JulyQBR Final slide-ShenZhen value1_Upshot Rev and Var - 200306-v6_Upshot Rev and Var - 200306-v9  FOR lisa" xfId="689"/>
    <cellStyle name="_Asia_QbrSlides_Cust Health_22April_SC JulyQBR Final slide-ShenZhen value1_Upshot Rev and Var - 200306-v9  FOR lisa" xfId="690"/>
    <cellStyle name="_Asia_QbrSlides_Cust Health_22April_Trial Asia Budget 06 vs 05 Rev VAR with Asia Based Clients" xfId="691"/>
    <cellStyle name="_Asia_QbrSlides_Cust Health_22April_Trial Asia Budget 06 vs 05 Rev VAR with Asia Based Clients_bridge 2006 bud w forecast" xfId="692"/>
    <cellStyle name="_Asia_QbrSlides_Cust Health_22April_Trial Asia Budget 06 vs 05 Rev VAR with Asia Based Clients_upshot Rev and Var - 200306-Revised-v2" xfId="693"/>
    <cellStyle name="_Asia_QbrSlides_Cust Health_22April_Trial Asia Budget 06 vs 05 Rev VAR with Asia Based Clients_upshot Rev and Var - 200306-Revised-v2_bridge 2006 bud w forecast" xfId="694"/>
    <cellStyle name="_Asia_QbrSlides_Cust Health_22April_Trial Asia Budget 06 vs 05 Rev VAR with Asia Based Clients_upshot Rev and Var - 200306-Revised-v2_Upshot Rev and Var - 200306-v11" xfId="695"/>
    <cellStyle name="_Asia_QbrSlides_Cust Health_22April_Trial Asia Budget 06 vs 05 Rev VAR with Asia Based Clients_upshot Rev and Var - 200306-Revised-v2_Upshot Rev and Var - 200306-v11-elva" xfId="696"/>
    <cellStyle name="_Asia_QbrSlides_Cust Health_22April_Trial Asia Budget 06 vs 05 Rev VAR with Asia Based Clients_upshot Rev and Var - 200306-Revised-v2_Upshot Rev and Var - 200306-v15" xfId="697"/>
    <cellStyle name="_Asia_QbrSlides_Cust Health_22April_Trial Asia Budget 06 vs 05 Rev VAR with Asia Based Clients_upshot Rev and Var - 200306-Revised-v2_Upshot Rev and Var - 200306-v18" xfId="698"/>
    <cellStyle name="_Asia_QbrSlides_Cust Health_22April_Trial Asia Budget 06 vs 05 Rev VAR with Asia Based Clients_upshot Rev and Var - 200306-Revised-v2_Upshot Rev and Var - 200306-v9  FOR lisa" xfId="699"/>
    <cellStyle name="_Asia_QbrSlides_Cust Health_22April_Trial Asia Budget 06 vs 05 Rev VAR with Asia Based Clients_Upshot Rev and Var - 200306-v11" xfId="700"/>
    <cellStyle name="_Asia_QbrSlides_Cust Health_22April_Trial Asia Budget 06 vs 05 Rev VAR with Asia Based Clients_Upshot Rev and Var - 200306-v11-elva" xfId="701"/>
    <cellStyle name="_Asia_QbrSlides_Cust Health_22April_Trial Asia Budget 06 vs 05 Rev VAR with Asia Based Clients_Upshot Rev and Var - 200306-v15" xfId="702"/>
    <cellStyle name="_Asia_QbrSlides_Cust Health_22April_Trial Asia Budget 06 vs 05 Rev VAR with Asia Based Clients_Upshot Rev and Var - 200306-v18" xfId="703"/>
    <cellStyle name="_Asia_QbrSlides_Cust Health_22April_Trial Asia Budget 06 vs 05 Rev VAR with Asia Based Clients_Upshot Rev and Var - 200306-v6" xfId="704"/>
    <cellStyle name="_Asia_QbrSlides_Cust Health_22April_Trial Asia Budget 06 vs 05 Rev VAR with Asia Based Clients_Upshot Rev and Var - 200306-v6_bridge 2006 bud w forecast" xfId="705"/>
    <cellStyle name="_Asia_QbrSlides_Cust Health_22April_Trial Asia Budget 06 vs 05 Rev VAR with Asia Based Clients_Upshot Rev and Var - 200306-v6_Upshot Rev and Var - 200306-v11" xfId="706"/>
    <cellStyle name="_Asia_QbrSlides_Cust Health_22April_Trial Asia Budget 06 vs 05 Rev VAR with Asia Based Clients_Upshot Rev and Var - 200306-v6_Upshot Rev and Var - 200306-v11-elva" xfId="707"/>
    <cellStyle name="_Asia_QbrSlides_Cust Health_22April_Trial Asia Budget 06 vs 05 Rev VAR with Asia Based Clients_Upshot Rev and Var - 200306-v6_Upshot Rev and Var - 200306-v15" xfId="708"/>
    <cellStyle name="_Asia_QbrSlides_Cust Health_22April_Trial Asia Budget 06 vs 05 Rev VAR with Asia Based Clients_Upshot Rev and Var - 200306-v6_Upshot Rev and Var - 200306-v18" xfId="709"/>
    <cellStyle name="_Asia_QbrSlides_Cust Health_22April_Trial Asia Budget 06 vs 05 Rev VAR with Asia Based Clients_Upshot Rev and Var - 200306-v6_Upshot Rev and Var - 200306-v9  FOR lisa" xfId="710"/>
    <cellStyle name="_Asia_QbrSlides_Cust Health_22April_Trial Asia Budget 06 vs 05 Rev VAR with Asia Based Clients_Upshot Rev and Var - 200306-v9  FOR lisa" xfId="711"/>
    <cellStyle name="_Asia_QbrSlides_Cust Health_22April_upshot Rev and Var - 200306-Revised-v2" xfId="712"/>
    <cellStyle name="_Asia_QbrSlides_Cust Health_22April_upshot Rev and Var - 200306-Revised-v2_bridge 2006 bud w forecast" xfId="713"/>
    <cellStyle name="_Asia_QbrSlides_Cust Health_22April_upshot Rev and Var - 200306-Revised-v2_Upshot Rev and Var - 200306-v11" xfId="714"/>
    <cellStyle name="_Asia_QbrSlides_Cust Health_22April_upshot Rev and Var - 200306-Revised-v2_Upshot Rev and Var - 200306-v11-elva" xfId="715"/>
    <cellStyle name="_Asia_QbrSlides_Cust Health_22April_upshot Rev and Var - 200306-Revised-v2_Upshot Rev and Var - 200306-v15" xfId="716"/>
    <cellStyle name="_Asia_QbrSlides_Cust Health_22April_upshot Rev and Var - 200306-Revised-v2_Upshot Rev and Var - 200306-v18" xfId="717"/>
    <cellStyle name="_Asia_QbrSlides_Cust Health_22April_upshot Rev and Var - 200306-Revised-v2_Upshot Rev and Var - 200306-v9  FOR lisa" xfId="718"/>
    <cellStyle name="_Asia_QbrSlides_Cust Health_22April_Upshot Rev and Var - 200306-v11" xfId="719"/>
    <cellStyle name="_Asia_QbrSlides_Cust Health_22April_Upshot Rev and Var - 200306-v11-elva" xfId="720"/>
    <cellStyle name="_Asia_QbrSlides_Cust Health_22April_Upshot Rev and Var - 200306-v15" xfId="721"/>
    <cellStyle name="_Asia_QbrSlides_Cust Health_22April_Upshot Rev and Var - 200306-v18" xfId="722"/>
    <cellStyle name="_Asia_QbrSlides_Cust Health_22April_Upshot Rev and Var - 200306-v6" xfId="723"/>
    <cellStyle name="_Asia_QbrSlides_Cust Health_22April_Upshot Rev and Var - 200306-v6_bridge 2006 bud w forecast" xfId="724"/>
    <cellStyle name="_Asia_QbrSlides_Cust Health_22April_Upshot Rev and Var - 200306-v6_Upshot Rev and Var - 200306-v11" xfId="725"/>
    <cellStyle name="_Asia_QbrSlides_Cust Health_22April_Upshot Rev and Var - 200306-v6_Upshot Rev and Var - 200306-v11-elva" xfId="726"/>
    <cellStyle name="_Asia_QbrSlides_Cust Health_22April_Upshot Rev and Var - 200306-v6_Upshot Rev and Var - 200306-v15" xfId="727"/>
    <cellStyle name="_Asia_QbrSlides_Cust Health_22April_Upshot Rev and Var - 200306-v6_Upshot Rev and Var - 200306-v18" xfId="728"/>
    <cellStyle name="_Asia_QbrSlides_Cust Health_22April_Upshot Rev and Var - 200306-v6_Upshot Rev and Var - 200306-v9  FOR lisa" xfId="729"/>
    <cellStyle name="_Asia_QbrSlides_Cust Health_22April_Upshot Rev and Var - 200306-v9  FOR lisa" xfId="730"/>
    <cellStyle name="_Copy of HP YTD Profitability" xfId="731"/>
    <cellStyle name="_country split Stewie" xfId="732"/>
    <cellStyle name="_Currency" xfId="733"/>
    <cellStyle name="_CurrencySpace" xfId="734"/>
    <cellStyle name="_Europe Budget 07 vs Actuals2 9 May" xfId="735"/>
    <cellStyle name="_FY08 salary  benfit pricing" xfId="736"/>
    <cellStyle name="_Greater China 2007 Budget@ Mar 10 2006_v4" xfId="737"/>
    <cellStyle name="_Greater China 2007 Budget@ Mar 10 2006_v4_bridge 2006 bud w forecast" xfId="738"/>
    <cellStyle name="_Greater China 2007 Budget@ Mar 10 2006_v4_Upshot Rev and Var - 200306-v11" xfId="739"/>
    <cellStyle name="_Greater China 2007 Budget@ Mar 10 2006_v4_Upshot Rev and Var - 200306-v11-elva" xfId="740"/>
    <cellStyle name="_Greater China 2007 Budget@ Mar 10 2006_v4_Upshot Rev and Var - 200306-v15" xfId="741"/>
    <cellStyle name="_Greater China 2007 Budget@ Mar 10 2006_v4_Upshot Rev and Var - 200306-v18" xfId="742"/>
    <cellStyle name="_Greater China 2007 Budget@ Mar 10 2006_v4_Upshot Rev and Var - 200306-v9  FOR lisa" xfId="743"/>
    <cellStyle name="_Greater China 2007 Budget@ Mar 10 2006_v5" xfId="744"/>
    <cellStyle name="_Greater China 2007 Budget@ Mar 10 2006_v5_bridge 2006 bud w forecast" xfId="745"/>
    <cellStyle name="_Greater China 2007 Budget@ Mar 10 2006_v5_Upshot Rev and Var - 200306-v11" xfId="746"/>
    <cellStyle name="_Greater China 2007 Budget@ Mar 10 2006_v5_Upshot Rev and Var - 200306-v11-elva" xfId="747"/>
    <cellStyle name="_Greater China 2007 Budget@ Mar 10 2006_v5_Upshot Rev and Var - 200306-v15" xfId="748"/>
    <cellStyle name="_Greater China 2007 Budget@ Mar 10 2006_v5_Upshot Rev and Var - 200306-v18" xfId="749"/>
    <cellStyle name="_Greater China 2007 Budget@ Mar 10 2006_v5_Upshot Rev and Var - 200306-v9  FOR lisa" xfId="750"/>
    <cellStyle name="_Greater China Com Reduction Summary report@17th June'03" xfId="751"/>
    <cellStyle name="_Greater China Com Reduction Summary report@17th June'03_AMD pricing version 2" xfId="752"/>
    <cellStyle name="_Greater China Com Reduction Summary report@17th June'03_Asia Budget 06 vs 05 Rev VAR with Asia Based Clients" xfId="753"/>
    <cellStyle name="_Greater China Com Reduction Summary report@17th June'03_Asia Budget 06 vs 05 Rev VAR with Asia Based Clients_bridge 2006 bud w forecast" xfId="754"/>
    <cellStyle name="_Greater China Com Reduction Summary report@17th June'03_Asia Budget 06 vs 05 Rev VAR with Asia Based Clients_upshot Rev and Var - 200306-Revised-v2" xfId="755"/>
    <cellStyle name="_Greater China Com Reduction Summary report@17th June'03_Asia Budget 06 vs 05 Rev VAR with Asia Based Clients_upshot Rev and Var - 200306-Revised-v2_bridge 2006 bud w forecast" xfId="756"/>
    <cellStyle name="_Greater China Com Reduction Summary report@17th June'03_Asia Budget 06 vs 05 Rev VAR with Asia Based Clients_upshot Rev and Var - 200306-Revised-v2_Upshot Rev and Var - 200306-v11" xfId="757"/>
    <cellStyle name="_Greater China Com Reduction Summary report@17th June'03_Asia Budget 06 vs 05 Rev VAR with Asia Based Clients_upshot Rev and Var - 200306-Revised-v2_Upshot Rev and Var - 200306-v11-elva" xfId="758"/>
    <cellStyle name="_Greater China Com Reduction Summary report@17th June'03_Asia Budget 06 vs 05 Rev VAR with Asia Based Clients_upshot Rev and Var - 200306-Revised-v2_Upshot Rev and Var - 200306-v15" xfId="759"/>
    <cellStyle name="_Greater China Com Reduction Summary report@17th June'03_Asia Budget 06 vs 05 Rev VAR with Asia Based Clients_upshot Rev and Var - 200306-Revised-v2_Upshot Rev and Var - 200306-v18" xfId="760"/>
    <cellStyle name="_Greater China Com Reduction Summary report@17th June'03_Asia Budget 06 vs 05 Rev VAR with Asia Based Clients_upshot Rev and Var - 200306-Revised-v2_Upshot Rev and Var - 200306-v9  FOR lisa" xfId="761"/>
    <cellStyle name="_Greater China Com Reduction Summary report@17th June'03_Asia Budget 06 vs 05 Rev VAR with Asia Based Clients_Upshot Rev and Var - 200306-v11" xfId="762"/>
    <cellStyle name="_Greater China Com Reduction Summary report@17th June'03_Asia Budget 06 vs 05 Rev VAR with Asia Based Clients_Upshot Rev and Var - 200306-v11-elva" xfId="763"/>
    <cellStyle name="_Greater China Com Reduction Summary report@17th June'03_Asia Budget 06 vs 05 Rev VAR with Asia Based Clients_Upshot Rev and Var - 200306-v15" xfId="764"/>
    <cellStyle name="_Greater China Com Reduction Summary report@17th June'03_Asia Budget 06 vs 05 Rev VAR with Asia Based Clients_Upshot Rev and Var - 200306-v18" xfId="765"/>
    <cellStyle name="_Greater China Com Reduction Summary report@17th June'03_Asia Budget 06 vs 05 Rev VAR with Asia Based Clients_Upshot Rev and Var - 200306-v6" xfId="766"/>
    <cellStyle name="_Greater China Com Reduction Summary report@17th June'03_Asia Budget 06 vs 05 Rev VAR with Asia Based Clients_Upshot Rev and Var - 200306-v6_bridge 2006 bud w forecast" xfId="767"/>
    <cellStyle name="_Greater China Com Reduction Summary report@17th June'03_Asia Budget 06 vs 05 Rev VAR with Asia Based Clients_Upshot Rev and Var - 200306-v6_Upshot Rev and Var - 200306-v11" xfId="768"/>
    <cellStyle name="_Greater China Com Reduction Summary report@17th June'03_Asia Budget 06 vs 05 Rev VAR with Asia Based Clients_Upshot Rev and Var - 200306-v6_Upshot Rev and Var - 200306-v11-elva" xfId="769"/>
    <cellStyle name="_Greater China Com Reduction Summary report@17th June'03_Asia Budget 06 vs 05 Rev VAR with Asia Based Clients_Upshot Rev and Var - 200306-v6_Upshot Rev and Var - 200306-v15" xfId="770"/>
    <cellStyle name="_Greater China Com Reduction Summary report@17th June'03_Asia Budget 06 vs 05 Rev VAR with Asia Based Clients_Upshot Rev and Var - 200306-v6_Upshot Rev and Var - 200306-v18" xfId="771"/>
    <cellStyle name="_Greater China Com Reduction Summary report@17th June'03_Asia Budget 06 vs 05 Rev VAR with Asia Based Clients_Upshot Rev and Var - 200306-v6_Upshot Rev and Var - 200306-v9  FOR lisa" xfId="772"/>
    <cellStyle name="_Greater China Com Reduction Summary report@17th June'03_Asia Budget 06 vs 05 Rev VAR with Asia Based Clients_Upshot Rev and Var - 200306-v9  FOR lisa" xfId="773"/>
    <cellStyle name="_Greater China Com Reduction Summary report@17th June'03_bridge 2006 bud w forecast" xfId="774"/>
    <cellStyle name="_Greater China Com Reduction Summary report@17th June'03_CAPEX FY2006_KS_0111" xfId="775"/>
    <cellStyle name="_Greater China Com Reduction Summary report@17th June'03_Trial Asia Budget 06 vs 05 Rev VAR with Asia Based Clients" xfId="776"/>
    <cellStyle name="_Greater China Com Reduction Summary report@17th June'03_Trial Asia Budget 06 vs 05 Rev VAR with Asia Based Clients_bridge 2006 bud w forecast" xfId="777"/>
    <cellStyle name="_Greater China Com Reduction Summary report@17th June'03_Trial Asia Budget 06 vs 05 Rev VAR with Asia Based Clients_upshot Rev and Var - 200306-Revised-v2" xfId="778"/>
    <cellStyle name="_Greater China Com Reduction Summary report@17th June'03_Trial Asia Budget 06 vs 05 Rev VAR with Asia Based Clients_upshot Rev and Var - 200306-Revised-v2_bridge 2006 bud w forecast" xfId="779"/>
    <cellStyle name="_Greater China Com Reduction Summary report@17th June'03_Trial Asia Budget 06 vs 05 Rev VAR with Asia Based Clients_upshot Rev and Var - 200306-Revised-v2_Upshot Rev and Var - 200306-v11" xfId="780"/>
    <cellStyle name="_Greater China Com Reduction Summary report@17th June'03_Trial Asia Budget 06 vs 05 Rev VAR with Asia Based Clients_upshot Rev and Var - 200306-Revised-v2_Upshot Rev and Var - 200306-v11-elva" xfId="781"/>
    <cellStyle name="_Greater China Com Reduction Summary report@17th June'03_Trial Asia Budget 06 vs 05 Rev VAR with Asia Based Clients_upshot Rev and Var - 200306-Revised-v2_Upshot Rev and Var - 200306-v15" xfId="782"/>
    <cellStyle name="_Greater China Com Reduction Summary report@17th June'03_Trial Asia Budget 06 vs 05 Rev VAR with Asia Based Clients_upshot Rev and Var - 200306-Revised-v2_Upshot Rev and Var - 200306-v18" xfId="783"/>
    <cellStyle name="_Greater China Com Reduction Summary report@17th June'03_Trial Asia Budget 06 vs 05 Rev VAR with Asia Based Clients_upshot Rev and Var - 200306-Revised-v2_Upshot Rev and Var - 200306-v9  FOR lisa" xfId="784"/>
    <cellStyle name="_Greater China Com Reduction Summary report@17th June'03_Trial Asia Budget 06 vs 05 Rev VAR with Asia Based Clients_Upshot Rev and Var - 200306-v11" xfId="785"/>
    <cellStyle name="_Greater China Com Reduction Summary report@17th June'03_Trial Asia Budget 06 vs 05 Rev VAR with Asia Based Clients_Upshot Rev and Var - 200306-v11-elva" xfId="786"/>
    <cellStyle name="_Greater China Com Reduction Summary report@17th June'03_Trial Asia Budget 06 vs 05 Rev VAR with Asia Based Clients_Upshot Rev and Var - 200306-v15" xfId="787"/>
    <cellStyle name="_Greater China Com Reduction Summary report@17th June'03_Trial Asia Budget 06 vs 05 Rev VAR with Asia Based Clients_Upshot Rev and Var - 200306-v18" xfId="788"/>
    <cellStyle name="_Greater China Com Reduction Summary report@17th June'03_Trial Asia Budget 06 vs 05 Rev VAR with Asia Based Clients_Upshot Rev and Var - 200306-v6" xfId="789"/>
    <cellStyle name="_Greater China Com Reduction Summary report@17th June'03_Trial Asia Budget 06 vs 05 Rev VAR with Asia Based Clients_Upshot Rev and Var - 200306-v6_bridge 2006 bud w forecast" xfId="790"/>
    <cellStyle name="_Greater China Com Reduction Summary report@17th June'03_Trial Asia Budget 06 vs 05 Rev VAR with Asia Based Clients_Upshot Rev and Var - 200306-v6_Upshot Rev and Var - 200306-v11" xfId="791"/>
    <cellStyle name="_Greater China Com Reduction Summary report@17th June'03_Trial Asia Budget 06 vs 05 Rev VAR with Asia Based Clients_Upshot Rev and Var - 200306-v6_Upshot Rev and Var - 200306-v11-elva" xfId="792"/>
    <cellStyle name="_Greater China Com Reduction Summary report@17th June'03_Trial Asia Budget 06 vs 05 Rev VAR with Asia Based Clients_Upshot Rev and Var - 200306-v6_Upshot Rev and Var - 200306-v15" xfId="793"/>
    <cellStyle name="_Greater China Com Reduction Summary report@17th June'03_Trial Asia Budget 06 vs 05 Rev VAR with Asia Based Clients_Upshot Rev and Var - 200306-v6_Upshot Rev and Var - 200306-v18" xfId="794"/>
    <cellStyle name="_Greater China Com Reduction Summary report@17th June'03_Trial Asia Budget 06 vs 05 Rev VAR with Asia Based Clients_Upshot Rev and Var - 200306-v6_Upshot Rev and Var - 200306-v9  FOR lisa" xfId="795"/>
    <cellStyle name="_Greater China Com Reduction Summary report@17th June'03_Trial Asia Budget 06 vs 05 Rev VAR with Asia Based Clients_Upshot Rev and Var - 200306-v9  FOR lisa" xfId="796"/>
    <cellStyle name="_Greater China Com Reduction Summary report@17th June'03_upshot Rev and Var - 200306-Revised-v2" xfId="797"/>
    <cellStyle name="_Greater China Com Reduction Summary report@17th June'03_upshot Rev and Var - 200306-Revised-v2_bridge 2006 bud w forecast" xfId="798"/>
    <cellStyle name="_Greater China Com Reduction Summary report@17th June'03_upshot Rev and Var - 200306-Revised-v2_Upshot Rev and Var - 200306-v11" xfId="799"/>
    <cellStyle name="_Greater China Com Reduction Summary report@17th June'03_upshot Rev and Var - 200306-Revised-v2_Upshot Rev and Var - 200306-v11-elva" xfId="800"/>
    <cellStyle name="_Greater China Com Reduction Summary report@17th June'03_upshot Rev and Var - 200306-Revised-v2_Upshot Rev and Var - 200306-v15" xfId="801"/>
    <cellStyle name="_Greater China Com Reduction Summary report@17th June'03_upshot Rev and Var - 200306-Revised-v2_Upshot Rev and Var - 200306-v18" xfId="802"/>
    <cellStyle name="_Greater China Com Reduction Summary report@17th June'03_upshot Rev and Var - 200306-Revised-v2_Upshot Rev and Var - 200306-v9  FOR lisa" xfId="803"/>
    <cellStyle name="_Greater China Com Reduction Summary report@17th June'03_Upshot Rev and Var - 200306-v11" xfId="804"/>
    <cellStyle name="_Greater China Com Reduction Summary report@17th June'03_Upshot Rev and Var - 200306-v11-elva" xfId="805"/>
    <cellStyle name="_Greater China Com Reduction Summary report@17th June'03_Upshot Rev and Var - 200306-v15" xfId="806"/>
    <cellStyle name="_Greater China Com Reduction Summary report@17th June'03_Upshot Rev and Var - 200306-v18" xfId="807"/>
    <cellStyle name="_Greater China Com Reduction Summary report@17th June'03_Upshot Rev and Var - 200306-v6" xfId="808"/>
    <cellStyle name="_Greater China Com Reduction Summary report@17th June'03_Upshot Rev and Var - 200306-v6_bridge 2006 bud w forecast" xfId="809"/>
    <cellStyle name="_Greater China Com Reduction Summary report@17th June'03_Upshot Rev and Var - 200306-v6_Upshot Rev and Var - 200306-v11" xfId="810"/>
    <cellStyle name="_Greater China Com Reduction Summary report@17th June'03_Upshot Rev and Var - 200306-v6_Upshot Rev and Var - 200306-v11-elva" xfId="811"/>
    <cellStyle name="_Greater China Com Reduction Summary report@17th June'03_Upshot Rev and Var - 200306-v6_Upshot Rev and Var - 200306-v15" xfId="812"/>
    <cellStyle name="_Greater China Com Reduction Summary report@17th June'03_Upshot Rev and Var - 200306-v6_Upshot Rev and Var - 200306-v18" xfId="813"/>
    <cellStyle name="_Greater China Com Reduction Summary report@17th June'03_Upshot Rev and Var - 200306-v6_Upshot Rev and Var - 200306-v9  FOR lisa" xfId="814"/>
    <cellStyle name="_Greater China Com Reduction Summary report@17th June'03_Upshot Rev and Var - 200306-v9  FOR lisa" xfId="815"/>
    <cellStyle name="_Greater Chn July QBR Final @18th June'03" xfId="816"/>
    <cellStyle name="_Greater Chn July QBR Final @18th June'03_AMD pricing version 2" xfId="817"/>
    <cellStyle name="_Greater Chn July QBR Final @18th June'03_Asia Budget 06 vs 05 Rev VAR with Asia Based Clients" xfId="818"/>
    <cellStyle name="_Greater Chn July QBR Final @18th June'03_Asia Budget 06 vs 05 Rev VAR with Asia Based Clients_bridge 2006 bud w forecast" xfId="819"/>
    <cellStyle name="_Greater Chn July QBR Final @18th June'03_Asia Budget 06 vs 05 Rev VAR with Asia Based Clients_upshot Rev and Var - 200306-Revised-v2" xfId="820"/>
    <cellStyle name="_Greater Chn July QBR Final @18th June'03_Asia Budget 06 vs 05 Rev VAR with Asia Based Clients_upshot Rev and Var - 200306-Revised-v2_bridge 2006 bud w forecast" xfId="821"/>
    <cellStyle name="_Greater Chn July QBR Final @18th June'03_Asia Budget 06 vs 05 Rev VAR with Asia Based Clients_upshot Rev and Var - 200306-Revised-v2_Upshot Rev and Var - 200306-v11" xfId="822"/>
    <cellStyle name="_Greater Chn July QBR Final @18th June'03_Asia Budget 06 vs 05 Rev VAR with Asia Based Clients_upshot Rev and Var - 200306-Revised-v2_Upshot Rev and Var - 200306-v11-elva" xfId="823"/>
    <cellStyle name="_Greater Chn July QBR Final @18th June'03_Asia Budget 06 vs 05 Rev VAR with Asia Based Clients_upshot Rev and Var - 200306-Revised-v2_Upshot Rev and Var - 200306-v15" xfId="824"/>
    <cellStyle name="_Greater Chn July QBR Final @18th June'03_Asia Budget 06 vs 05 Rev VAR with Asia Based Clients_upshot Rev and Var - 200306-Revised-v2_Upshot Rev and Var - 200306-v18" xfId="825"/>
    <cellStyle name="_Greater Chn July QBR Final @18th June'03_Asia Budget 06 vs 05 Rev VAR with Asia Based Clients_upshot Rev and Var - 200306-Revised-v2_Upshot Rev and Var - 200306-v9  FOR lisa" xfId="826"/>
    <cellStyle name="_Greater Chn July QBR Final @18th June'03_Asia Budget 06 vs 05 Rev VAR with Asia Based Clients_Upshot Rev and Var - 200306-v11" xfId="827"/>
    <cellStyle name="_Greater Chn July QBR Final @18th June'03_Asia Budget 06 vs 05 Rev VAR with Asia Based Clients_Upshot Rev and Var - 200306-v11-elva" xfId="828"/>
    <cellStyle name="_Greater Chn July QBR Final @18th June'03_Asia Budget 06 vs 05 Rev VAR with Asia Based Clients_Upshot Rev and Var - 200306-v15" xfId="829"/>
    <cellStyle name="_Greater Chn July QBR Final @18th June'03_Asia Budget 06 vs 05 Rev VAR with Asia Based Clients_Upshot Rev and Var - 200306-v18" xfId="830"/>
    <cellStyle name="_Greater Chn July QBR Final @18th June'03_Asia Budget 06 vs 05 Rev VAR with Asia Based Clients_Upshot Rev and Var - 200306-v6" xfId="831"/>
    <cellStyle name="_Greater Chn July QBR Final @18th June'03_Asia Budget 06 vs 05 Rev VAR with Asia Based Clients_Upshot Rev and Var - 200306-v6_bridge 2006 bud w forecast" xfId="832"/>
    <cellStyle name="_Greater Chn July QBR Final @18th June'03_Asia Budget 06 vs 05 Rev VAR with Asia Based Clients_Upshot Rev and Var - 200306-v6_Upshot Rev and Var - 200306-v11" xfId="833"/>
    <cellStyle name="_Greater Chn July QBR Final @18th June'03_Asia Budget 06 vs 05 Rev VAR with Asia Based Clients_Upshot Rev and Var - 200306-v6_Upshot Rev and Var - 200306-v11-elva" xfId="834"/>
    <cellStyle name="_Greater Chn July QBR Final @18th June'03_Asia Budget 06 vs 05 Rev VAR with Asia Based Clients_Upshot Rev and Var - 200306-v6_Upshot Rev and Var - 200306-v15" xfId="835"/>
    <cellStyle name="_Greater Chn July QBR Final @18th June'03_Asia Budget 06 vs 05 Rev VAR with Asia Based Clients_Upshot Rev and Var - 200306-v6_Upshot Rev and Var - 200306-v18" xfId="836"/>
    <cellStyle name="_Greater Chn July QBR Final @18th June'03_Asia Budget 06 vs 05 Rev VAR with Asia Based Clients_Upshot Rev and Var - 200306-v6_Upshot Rev and Var - 200306-v9  FOR lisa" xfId="837"/>
    <cellStyle name="_Greater Chn July QBR Final @18th June'03_Asia Budget 06 vs 05 Rev VAR with Asia Based Clients_Upshot Rev and Var - 200306-v9  FOR lisa" xfId="838"/>
    <cellStyle name="_Greater Chn July QBR Final @18th June'03_bridge 2006 bud w forecast" xfId="839"/>
    <cellStyle name="_Greater Chn July QBR Final @18th June'03_CAPEX FY2006_KS_0111" xfId="840"/>
    <cellStyle name="_Greater Chn July QBR Final @18th June'03_Trial Asia Budget 06 vs 05 Rev VAR with Asia Based Clients" xfId="841"/>
    <cellStyle name="_Greater Chn July QBR Final @18th June'03_Trial Asia Budget 06 vs 05 Rev VAR with Asia Based Clients_bridge 2006 bud w forecast" xfId="842"/>
    <cellStyle name="_Greater Chn July QBR Final @18th June'03_Trial Asia Budget 06 vs 05 Rev VAR with Asia Based Clients_upshot Rev and Var - 200306-Revised-v2" xfId="843"/>
    <cellStyle name="_Greater Chn July QBR Final @18th June'03_Trial Asia Budget 06 vs 05 Rev VAR with Asia Based Clients_upshot Rev and Var - 200306-Revised-v2_bridge 2006 bud w forecast" xfId="844"/>
    <cellStyle name="_Greater Chn July QBR Final @18th June'03_Trial Asia Budget 06 vs 05 Rev VAR with Asia Based Clients_upshot Rev and Var - 200306-Revised-v2_Upshot Rev and Var - 200306-v11" xfId="845"/>
    <cellStyle name="_Greater Chn July QBR Final @18th June'03_Trial Asia Budget 06 vs 05 Rev VAR with Asia Based Clients_upshot Rev and Var - 200306-Revised-v2_Upshot Rev and Var - 200306-v11-elva" xfId="846"/>
    <cellStyle name="_Greater Chn July QBR Final @18th June'03_Trial Asia Budget 06 vs 05 Rev VAR with Asia Based Clients_upshot Rev and Var - 200306-Revised-v2_Upshot Rev and Var - 200306-v15" xfId="847"/>
    <cellStyle name="_Greater Chn July QBR Final @18th June'03_Trial Asia Budget 06 vs 05 Rev VAR with Asia Based Clients_upshot Rev and Var - 200306-Revised-v2_Upshot Rev and Var - 200306-v18" xfId="848"/>
    <cellStyle name="_Greater Chn July QBR Final @18th June'03_Trial Asia Budget 06 vs 05 Rev VAR with Asia Based Clients_upshot Rev and Var - 200306-Revised-v2_Upshot Rev and Var - 200306-v9  FOR lisa" xfId="849"/>
    <cellStyle name="_Greater Chn July QBR Final @18th June'03_Trial Asia Budget 06 vs 05 Rev VAR with Asia Based Clients_Upshot Rev and Var - 200306-v11" xfId="850"/>
    <cellStyle name="_Greater Chn July QBR Final @18th June'03_Trial Asia Budget 06 vs 05 Rev VAR with Asia Based Clients_Upshot Rev and Var - 200306-v11-elva" xfId="851"/>
    <cellStyle name="_Greater Chn July QBR Final @18th June'03_Trial Asia Budget 06 vs 05 Rev VAR with Asia Based Clients_Upshot Rev and Var - 200306-v15" xfId="852"/>
    <cellStyle name="_Greater Chn July QBR Final @18th June'03_Trial Asia Budget 06 vs 05 Rev VAR with Asia Based Clients_Upshot Rev and Var - 200306-v18" xfId="853"/>
    <cellStyle name="_Greater Chn July QBR Final @18th June'03_Trial Asia Budget 06 vs 05 Rev VAR with Asia Based Clients_Upshot Rev and Var - 200306-v6" xfId="854"/>
    <cellStyle name="_Greater Chn July QBR Final @18th June'03_Trial Asia Budget 06 vs 05 Rev VAR with Asia Based Clients_Upshot Rev and Var - 200306-v6_bridge 2006 bud w forecast" xfId="855"/>
    <cellStyle name="_Greater Chn July QBR Final @18th June'03_Trial Asia Budget 06 vs 05 Rev VAR with Asia Based Clients_Upshot Rev and Var - 200306-v6_Upshot Rev and Var - 200306-v11" xfId="856"/>
    <cellStyle name="_Greater Chn July QBR Final @18th June'03_Trial Asia Budget 06 vs 05 Rev VAR with Asia Based Clients_Upshot Rev and Var - 200306-v6_Upshot Rev and Var - 200306-v11-elva" xfId="857"/>
    <cellStyle name="_Greater Chn July QBR Final @18th June'03_Trial Asia Budget 06 vs 05 Rev VAR with Asia Based Clients_Upshot Rev and Var - 200306-v6_Upshot Rev and Var - 200306-v15" xfId="858"/>
    <cellStyle name="_Greater Chn July QBR Final @18th June'03_Trial Asia Budget 06 vs 05 Rev VAR with Asia Based Clients_Upshot Rev and Var - 200306-v6_Upshot Rev and Var - 200306-v18" xfId="859"/>
    <cellStyle name="_Greater Chn July QBR Final @18th June'03_Trial Asia Budget 06 vs 05 Rev VAR with Asia Based Clients_Upshot Rev and Var - 200306-v6_Upshot Rev and Var - 200306-v9  FOR lisa" xfId="860"/>
    <cellStyle name="_Greater Chn July QBR Final @18th June'03_Trial Asia Budget 06 vs 05 Rev VAR with Asia Based Clients_Upshot Rev and Var - 200306-v9  FOR lisa" xfId="861"/>
    <cellStyle name="_Greater Chn July QBR Final @18th June'03_upshot Rev and Var - 200306-Revised-v2" xfId="862"/>
    <cellStyle name="_Greater Chn July QBR Final @18th June'03_upshot Rev and Var - 200306-Revised-v2_bridge 2006 bud w forecast" xfId="863"/>
    <cellStyle name="_Greater Chn July QBR Final @18th June'03_upshot Rev and Var - 200306-Revised-v2_Upshot Rev and Var - 200306-v11" xfId="864"/>
    <cellStyle name="_Greater Chn July QBR Final @18th June'03_upshot Rev and Var - 200306-Revised-v2_Upshot Rev and Var - 200306-v11-elva" xfId="865"/>
    <cellStyle name="_Greater Chn July QBR Final @18th June'03_upshot Rev and Var - 200306-Revised-v2_Upshot Rev and Var - 200306-v15" xfId="866"/>
    <cellStyle name="_Greater Chn July QBR Final @18th June'03_upshot Rev and Var - 200306-Revised-v2_Upshot Rev and Var - 200306-v18" xfId="867"/>
    <cellStyle name="_Greater Chn July QBR Final @18th June'03_upshot Rev and Var - 200306-Revised-v2_Upshot Rev and Var - 200306-v9  FOR lisa" xfId="868"/>
    <cellStyle name="_Greater Chn July QBR Final @18th June'03_Upshot Rev and Var - 200306-v11" xfId="869"/>
    <cellStyle name="_Greater Chn July QBR Final @18th June'03_Upshot Rev and Var - 200306-v11-elva" xfId="870"/>
    <cellStyle name="_Greater Chn July QBR Final @18th June'03_Upshot Rev and Var - 200306-v15" xfId="871"/>
    <cellStyle name="_Greater Chn July QBR Final @18th June'03_Upshot Rev and Var - 200306-v18" xfId="872"/>
    <cellStyle name="_Greater Chn July QBR Final @18th June'03_Upshot Rev and Var - 200306-v6" xfId="873"/>
    <cellStyle name="_Greater Chn July QBR Final @18th June'03_Upshot Rev and Var - 200306-v6_bridge 2006 bud w forecast" xfId="874"/>
    <cellStyle name="_Greater Chn July QBR Final @18th June'03_Upshot Rev and Var - 200306-v6_Upshot Rev and Var - 200306-v11" xfId="875"/>
    <cellStyle name="_Greater Chn July QBR Final @18th June'03_Upshot Rev and Var - 200306-v6_Upshot Rev and Var - 200306-v11-elva" xfId="876"/>
    <cellStyle name="_Greater Chn July QBR Final @18th June'03_Upshot Rev and Var - 200306-v6_Upshot Rev and Var - 200306-v15" xfId="877"/>
    <cellStyle name="_Greater Chn July QBR Final @18th June'03_Upshot Rev and Var - 200306-v6_Upshot Rev and Var - 200306-v18" xfId="878"/>
    <cellStyle name="_Greater Chn July QBR Final @18th June'03_Upshot Rev and Var - 200306-v6_Upshot Rev and Var - 200306-v9  FOR lisa" xfId="879"/>
    <cellStyle name="_Greater Chn July QBR Final @18th June'03_Upshot Rev and Var - 200306-v9  FOR lisa" xfId="880"/>
    <cellStyle name="_HC FY05 Bud Aug 30 values" xfId="881"/>
    <cellStyle name="_HC FY05 Bud Aug 30 values_NorthChina variance (2)" xfId="882"/>
    <cellStyle name="_Linksys_Analysis09_Mrc_06v3" xfId="883"/>
    <cellStyle name="_Linksys_Analysis09_Mrc_06v3_Lexar layout" xfId="884"/>
    <cellStyle name="_Linksys_Analysis09_Mrc_06v3_Moduslink SD expansion CAR template_17 Jul 07 (3)" xfId="885"/>
    <cellStyle name="_Linksys_Analysis09_Mrc_06v3_SD expansion CAR (extra blister machine) -v1" xfId="886"/>
    <cellStyle name="_Linksys_Analysis09_Mrc_06v3_Simple Tech project -v2 (2)" xfId="887"/>
    <cellStyle name="_Linksys_Analysis09_Mrc_06v3_Warehouse re-layout for SAP implementation" xfId="888"/>
    <cellStyle name="_Linksys_Analysis09_Mrc_06v3_XX expansion project -v1" xfId="889"/>
    <cellStyle name="_MacPower_exDongguan_FOBHK_to Budapest_Internal_CPU" xfId="890"/>
    <cellStyle name="_ModusLink_Inbound_Linksys_1-june061" xfId="891"/>
    <cellStyle name="_ModusLink_Inbound_Linksys_1-june061_Lexar layout" xfId="892"/>
    <cellStyle name="_ModusLink_Inbound_Linksys_1-june061_Moduslink SD expansion CAR template_17 Jul 07 (3)" xfId="893"/>
    <cellStyle name="_ModusLink_Inbound_Linksys_1-june061_SD expansion CAR (extra blister machine) -v1" xfId="894"/>
    <cellStyle name="_ModusLink_Inbound_Linksys_1-june061_Simple Tech project -v2 (2)" xfId="895"/>
    <cellStyle name="_ModusLink_Inbound_Linksys_1-june061_Warehouse re-layout for SAP implementation" xfId="896"/>
    <cellStyle name="_ModusLink_Inbound_Linksys_1-june061_XX expansion project -v1" xfId="897"/>
    <cellStyle name="_NorthChina variance (2)" xfId="898"/>
    <cellStyle name="_Q1 P&amp;L" xfId="899"/>
    <cellStyle name="_Q108 Demand WK-1 12-27-07" xfId="900"/>
    <cellStyle name="_Q108 Demand WK-1 12-27-07_Comcast - DTA P&amp;L v18A - 12-03-08 - Single DTA - Volume Sensitivity - n60" xfId="901"/>
    <cellStyle name="_Q108 Demand WK-1 12-27-07_MSAR_HP_capex" xfId="902"/>
    <cellStyle name="_Q108 Demand WK-1 12-27-07_Sony PL BRNO June 2009 - V1" xfId="903"/>
    <cellStyle name="_Q108 WeeklyMasterWK2 V1" xfId="904"/>
    <cellStyle name="_Q108 WeeklyMasterWK2 V1_Comcast - DTA P&amp;L v18A - 12-03-08 - Single DTA - Volume Sensitivity - n60" xfId="905"/>
    <cellStyle name="_Q108 WeeklyMasterWK2 V1_MSAR_HP_capex" xfId="906"/>
    <cellStyle name="_Q108 WeeklyMasterWK2 V1_Sony PL BRNO June 2009 - V1" xfId="907"/>
    <cellStyle name="_Q208 Interlock Plan V3 3-10-08" xfId="908"/>
    <cellStyle name="_Q208 Interlock Plan V3 3-10-08_Comcast - DTA P&amp;L v18A - 12-03-08 - Single DTA - Volume Sensitivity - n60" xfId="909"/>
    <cellStyle name="_Q208 Interlock Plan V3 3-10-08_MSAR_HP_capex" xfId="910"/>
    <cellStyle name="_Q208 Interlock Plan V3 3-10-08_Sony PL BRNO June 2009 - V1" xfId="911"/>
    <cellStyle name="_Rebate  price down" xfId="912"/>
    <cellStyle name="_SC JulyQBR Final slide-Futian value" xfId="913"/>
    <cellStyle name="_SC JulyQBR Final slide-Futian value_AMD pricing version 2" xfId="914"/>
    <cellStyle name="_SC JulyQBR Final slide-Futian value_Asia Budget 06 vs 05 Rev VAR with Asia Based Clients" xfId="915"/>
    <cellStyle name="_SC JulyQBR Final slide-Futian value_Asia Budget 06 vs 05 Rev VAR with Asia Based Clients_bridge 2006 bud w forecast" xfId="916"/>
    <cellStyle name="_SC JulyQBR Final slide-Futian value_Asia Budget 06 vs 05 Rev VAR with Asia Based Clients_upshot Rev and Var - 200306-Revised-v2" xfId="917"/>
    <cellStyle name="_SC JulyQBR Final slide-Futian value_Asia Budget 06 vs 05 Rev VAR with Asia Based Clients_upshot Rev and Var - 200306-Revised-v2_bridge 2006 bud w forecast" xfId="918"/>
    <cellStyle name="_SC JulyQBR Final slide-Futian value_Asia Budget 06 vs 05 Rev VAR with Asia Based Clients_upshot Rev and Var - 200306-Revised-v2_Upshot Rev and Var - 200306-v11" xfId="919"/>
    <cellStyle name="_SC JulyQBR Final slide-Futian value_Asia Budget 06 vs 05 Rev VAR with Asia Based Clients_upshot Rev and Var - 200306-Revised-v2_Upshot Rev and Var - 200306-v11-elva" xfId="920"/>
    <cellStyle name="_SC JulyQBR Final slide-Futian value_Asia Budget 06 vs 05 Rev VAR with Asia Based Clients_upshot Rev and Var - 200306-Revised-v2_Upshot Rev and Var - 200306-v15" xfId="921"/>
    <cellStyle name="_SC JulyQBR Final slide-Futian value_Asia Budget 06 vs 05 Rev VAR with Asia Based Clients_upshot Rev and Var - 200306-Revised-v2_Upshot Rev and Var - 200306-v18" xfId="922"/>
    <cellStyle name="_SC JulyQBR Final slide-Futian value_Asia Budget 06 vs 05 Rev VAR with Asia Based Clients_upshot Rev and Var - 200306-Revised-v2_Upshot Rev and Var - 200306-v9  FOR lisa" xfId="923"/>
    <cellStyle name="_SC JulyQBR Final slide-Futian value_Asia Budget 06 vs 05 Rev VAR with Asia Based Clients_Upshot Rev and Var - 200306-v11" xfId="924"/>
    <cellStyle name="_SC JulyQBR Final slide-Futian value_Asia Budget 06 vs 05 Rev VAR with Asia Based Clients_Upshot Rev and Var - 200306-v11-elva" xfId="925"/>
    <cellStyle name="_SC JulyQBR Final slide-Futian value_Asia Budget 06 vs 05 Rev VAR with Asia Based Clients_Upshot Rev and Var - 200306-v15" xfId="926"/>
    <cellStyle name="_SC JulyQBR Final slide-Futian value_Asia Budget 06 vs 05 Rev VAR with Asia Based Clients_Upshot Rev and Var - 200306-v18" xfId="927"/>
    <cellStyle name="_SC JulyQBR Final slide-Futian value_Asia Budget 06 vs 05 Rev VAR with Asia Based Clients_Upshot Rev and Var - 200306-v6" xfId="928"/>
    <cellStyle name="_SC JulyQBR Final slide-Futian value_Asia Budget 06 vs 05 Rev VAR with Asia Based Clients_Upshot Rev and Var - 200306-v6_bridge 2006 bud w forecast" xfId="929"/>
    <cellStyle name="_SC JulyQBR Final slide-Futian value_Asia Budget 06 vs 05 Rev VAR with Asia Based Clients_Upshot Rev and Var - 200306-v6_Upshot Rev and Var - 200306-v11" xfId="930"/>
    <cellStyle name="_SC JulyQBR Final slide-Futian value_Asia Budget 06 vs 05 Rev VAR with Asia Based Clients_Upshot Rev and Var - 200306-v6_Upshot Rev and Var - 200306-v11-elva" xfId="931"/>
    <cellStyle name="_SC JulyQBR Final slide-Futian value_Asia Budget 06 vs 05 Rev VAR with Asia Based Clients_Upshot Rev and Var - 200306-v6_Upshot Rev and Var - 200306-v15" xfId="932"/>
    <cellStyle name="_SC JulyQBR Final slide-Futian value_Asia Budget 06 vs 05 Rev VAR with Asia Based Clients_Upshot Rev and Var - 200306-v6_Upshot Rev and Var - 200306-v18" xfId="933"/>
    <cellStyle name="_SC JulyQBR Final slide-Futian value_Asia Budget 06 vs 05 Rev VAR with Asia Based Clients_Upshot Rev and Var - 200306-v6_Upshot Rev and Var - 200306-v9  FOR lisa" xfId="934"/>
    <cellStyle name="_SC JulyQBR Final slide-Futian value_Asia Budget 06 vs 05 Rev VAR with Asia Based Clients_Upshot Rev and Var - 200306-v9  FOR lisa" xfId="935"/>
    <cellStyle name="_SC JulyQBR Final slide-Futian value_bridge 2006 bud w forecast" xfId="936"/>
    <cellStyle name="_SC JulyQBR Final slide-Futian value_CAPEX FY2006_KS_0111" xfId="937"/>
    <cellStyle name="_SC JulyQBR Final slide-Futian value_Trial Asia Budget 06 vs 05 Rev VAR with Asia Based Clients" xfId="938"/>
    <cellStyle name="_SC JulyQBR Final slide-Futian value_Trial Asia Budget 06 vs 05 Rev VAR with Asia Based Clients_bridge 2006 bud w forecast" xfId="939"/>
    <cellStyle name="_SC JulyQBR Final slide-Futian value_Trial Asia Budget 06 vs 05 Rev VAR with Asia Based Clients_upshot Rev and Var - 200306-Revised-v2" xfId="940"/>
    <cellStyle name="_SC JulyQBR Final slide-Futian value_Trial Asia Budget 06 vs 05 Rev VAR with Asia Based Clients_upshot Rev and Var - 200306-Revised-v2_bridge 2006 bud w forecast" xfId="941"/>
    <cellStyle name="_SC JulyQBR Final slide-Futian value_Trial Asia Budget 06 vs 05 Rev VAR with Asia Based Clients_upshot Rev and Var - 200306-Revised-v2_Upshot Rev and Var - 200306-v11" xfId="942"/>
    <cellStyle name="_SC JulyQBR Final slide-Futian value_Trial Asia Budget 06 vs 05 Rev VAR with Asia Based Clients_upshot Rev and Var - 200306-Revised-v2_Upshot Rev and Var - 200306-v11-elva" xfId="943"/>
    <cellStyle name="_SC JulyQBR Final slide-Futian value_Trial Asia Budget 06 vs 05 Rev VAR with Asia Based Clients_upshot Rev and Var - 200306-Revised-v2_Upshot Rev and Var - 200306-v15" xfId="944"/>
    <cellStyle name="_SC JulyQBR Final slide-Futian value_Trial Asia Budget 06 vs 05 Rev VAR with Asia Based Clients_upshot Rev and Var - 200306-Revised-v2_Upshot Rev and Var - 200306-v18" xfId="945"/>
    <cellStyle name="_SC JulyQBR Final slide-Futian value_Trial Asia Budget 06 vs 05 Rev VAR with Asia Based Clients_upshot Rev and Var - 200306-Revised-v2_Upshot Rev and Var - 200306-v9  FOR lisa" xfId="946"/>
    <cellStyle name="_SC JulyQBR Final slide-Futian value_Trial Asia Budget 06 vs 05 Rev VAR with Asia Based Clients_Upshot Rev and Var - 200306-v11" xfId="947"/>
    <cellStyle name="_SC JulyQBR Final slide-Futian value_Trial Asia Budget 06 vs 05 Rev VAR with Asia Based Clients_Upshot Rev and Var - 200306-v11-elva" xfId="948"/>
    <cellStyle name="_SC JulyQBR Final slide-Futian value_Trial Asia Budget 06 vs 05 Rev VAR with Asia Based Clients_Upshot Rev and Var - 200306-v15" xfId="949"/>
    <cellStyle name="_SC JulyQBR Final slide-Futian value_Trial Asia Budget 06 vs 05 Rev VAR with Asia Based Clients_Upshot Rev and Var - 200306-v18" xfId="950"/>
    <cellStyle name="_SC JulyQBR Final slide-Futian value_Trial Asia Budget 06 vs 05 Rev VAR with Asia Based Clients_Upshot Rev and Var - 200306-v6" xfId="951"/>
    <cellStyle name="_SC JulyQBR Final slide-Futian value_Trial Asia Budget 06 vs 05 Rev VAR with Asia Based Clients_Upshot Rev and Var - 200306-v6_bridge 2006 bud w forecast" xfId="952"/>
    <cellStyle name="_SC JulyQBR Final slide-Futian value_Trial Asia Budget 06 vs 05 Rev VAR with Asia Based Clients_Upshot Rev and Var - 200306-v6_Upshot Rev and Var - 200306-v11" xfId="953"/>
    <cellStyle name="_SC JulyQBR Final slide-Futian value_Trial Asia Budget 06 vs 05 Rev VAR with Asia Based Clients_Upshot Rev and Var - 200306-v6_Upshot Rev and Var - 200306-v11-elva" xfId="954"/>
    <cellStyle name="_SC JulyQBR Final slide-Futian value_Trial Asia Budget 06 vs 05 Rev VAR with Asia Based Clients_Upshot Rev and Var - 200306-v6_Upshot Rev and Var - 200306-v15" xfId="955"/>
    <cellStyle name="_SC JulyQBR Final slide-Futian value_Trial Asia Budget 06 vs 05 Rev VAR with Asia Based Clients_Upshot Rev and Var - 200306-v6_Upshot Rev and Var - 200306-v18" xfId="956"/>
    <cellStyle name="_SC JulyQBR Final slide-Futian value_Trial Asia Budget 06 vs 05 Rev VAR with Asia Based Clients_Upshot Rev and Var - 200306-v6_Upshot Rev and Var - 200306-v9  FOR lisa" xfId="957"/>
    <cellStyle name="_SC JulyQBR Final slide-Futian value_Trial Asia Budget 06 vs 05 Rev VAR with Asia Based Clients_Upshot Rev and Var - 200306-v9  FOR lisa" xfId="958"/>
    <cellStyle name="_SC JulyQBR Final slide-Futian value_upshot Rev and Var - 200306-Revised-v2" xfId="959"/>
    <cellStyle name="_SC JulyQBR Final slide-Futian value_upshot Rev and Var - 200306-Revised-v2_bridge 2006 bud w forecast" xfId="960"/>
    <cellStyle name="_SC JulyQBR Final slide-Futian value_upshot Rev and Var - 200306-Revised-v2_Upshot Rev and Var - 200306-v11" xfId="961"/>
    <cellStyle name="_SC JulyQBR Final slide-Futian value_upshot Rev and Var - 200306-Revised-v2_Upshot Rev and Var - 200306-v11-elva" xfId="962"/>
    <cellStyle name="_SC JulyQBR Final slide-Futian value_upshot Rev and Var - 200306-Revised-v2_Upshot Rev and Var - 200306-v15" xfId="963"/>
    <cellStyle name="_SC JulyQBR Final slide-Futian value_upshot Rev and Var - 200306-Revised-v2_Upshot Rev and Var - 200306-v18" xfId="964"/>
    <cellStyle name="_SC JulyQBR Final slide-Futian value_upshot Rev and Var - 200306-Revised-v2_Upshot Rev and Var - 200306-v9  FOR lisa" xfId="965"/>
    <cellStyle name="_SC JulyQBR Final slide-Futian value_Upshot Rev and Var - 200306-v11" xfId="966"/>
    <cellStyle name="_SC JulyQBR Final slide-Futian value_Upshot Rev and Var - 200306-v11-elva" xfId="967"/>
    <cellStyle name="_SC JulyQBR Final slide-Futian value_Upshot Rev and Var - 200306-v15" xfId="968"/>
    <cellStyle name="_SC JulyQBR Final slide-Futian value_Upshot Rev and Var - 200306-v18" xfId="969"/>
    <cellStyle name="_SC JulyQBR Final slide-Futian value_Upshot Rev and Var - 200306-v6" xfId="970"/>
    <cellStyle name="_SC JulyQBR Final slide-Futian value_Upshot Rev and Var - 200306-v6_bridge 2006 bud w forecast" xfId="971"/>
    <cellStyle name="_SC JulyQBR Final slide-Futian value_Upshot Rev and Var - 200306-v6_Upshot Rev and Var - 200306-v11" xfId="972"/>
    <cellStyle name="_SC JulyQBR Final slide-Futian value_Upshot Rev and Var - 200306-v6_Upshot Rev and Var - 200306-v11-elva" xfId="973"/>
    <cellStyle name="_SC JulyQBR Final slide-Futian value_Upshot Rev and Var - 200306-v6_Upshot Rev and Var - 200306-v15" xfId="974"/>
    <cellStyle name="_SC JulyQBR Final slide-Futian value_Upshot Rev and Var - 200306-v6_Upshot Rev and Var - 200306-v18" xfId="975"/>
    <cellStyle name="_SC JulyQBR Final slide-Futian value_Upshot Rev and Var - 200306-v6_Upshot Rev and Var - 200306-v9  FOR lisa" xfId="976"/>
    <cellStyle name="_SC JulyQBR Final slide-Futian value_Upshot Rev and Var - 200306-v9  FOR lisa" xfId="977"/>
    <cellStyle name="_SC JulyQBR Final slide-ShenZhen value" xfId="978"/>
    <cellStyle name="_SC JulyQBR Final slide-ShenZhen value_AMD pricing version 2" xfId="979"/>
    <cellStyle name="_SC JulyQBR Final slide-ShenZhen value_Asia Budget 06 vs 05 Rev VAR with Asia Based Clients" xfId="980"/>
    <cellStyle name="_SC JulyQBR Final slide-ShenZhen value_Asia Budget 06 vs 05 Rev VAR with Asia Based Clients_bridge 2006 bud w forecast" xfId="981"/>
    <cellStyle name="_SC JulyQBR Final slide-ShenZhen value_Asia Budget 06 vs 05 Rev VAR with Asia Based Clients_upshot Rev and Var - 200306-Revised-v2" xfId="982"/>
    <cellStyle name="_SC JulyQBR Final slide-ShenZhen value_Asia Budget 06 vs 05 Rev VAR with Asia Based Clients_upshot Rev and Var - 200306-Revised-v2_bridge 2006 bud w forecast" xfId="983"/>
    <cellStyle name="_SC JulyQBR Final slide-ShenZhen value_Asia Budget 06 vs 05 Rev VAR with Asia Based Clients_upshot Rev and Var - 200306-Revised-v2_Upshot Rev and Var - 200306-v11" xfId="984"/>
    <cellStyle name="_SC JulyQBR Final slide-ShenZhen value_Asia Budget 06 vs 05 Rev VAR with Asia Based Clients_upshot Rev and Var - 200306-Revised-v2_Upshot Rev and Var - 200306-v11-elva" xfId="985"/>
    <cellStyle name="_SC JulyQBR Final slide-ShenZhen value_Asia Budget 06 vs 05 Rev VAR with Asia Based Clients_upshot Rev and Var - 200306-Revised-v2_Upshot Rev and Var - 200306-v15" xfId="986"/>
    <cellStyle name="_SC JulyQBR Final slide-ShenZhen value_Asia Budget 06 vs 05 Rev VAR with Asia Based Clients_upshot Rev and Var - 200306-Revised-v2_Upshot Rev and Var - 200306-v18" xfId="987"/>
    <cellStyle name="_SC JulyQBR Final slide-ShenZhen value_Asia Budget 06 vs 05 Rev VAR with Asia Based Clients_upshot Rev and Var - 200306-Revised-v2_Upshot Rev and Var - 200306-v9  FOR lisa" xfId="988"/>
    <cellStyle name="_SC JulyQBR Final slide-ShenZhen value_Asia Budget 06 vs 05 Rev VAR with Asia Based Clients_Upshot Rev and Var - 200306-v11" xfId="989"/>
    <cellStyle name="_SC JulyQBR Final slide-ShenZhen value_Asia Budget 06 vs 05 Rev VAR with Asia Based Clients_Upshot Rev and Var - 200306-v11-elva" xfId="990"/>
    <cellStyle name="_SC JulyQBR Final slide-ShenZhen value_Asia Budget 06 vs 05 Rev VAR with Asia Based Clients_Upshot Rev and Var - 200306-v15" xfId="991"/>
    <cellStyle name="_SC JulyQBR Final slide-ShenZhen value_Asia Budget 06 vs 05 Rev VAR with Asia Based Clients_Upshot Rev and Var - 200306-v18" xfId="992"/>
    <cellStyle name="_SC JulyQBR Final slide-ShenZhen value_Asia Budget 06 vs 05 Rev VAR with Asia Based Clients_Upshot Rev and Var - 200306-v6" xfId="993"/>
    <cellStyle name="_SC JulyQBR Final slide-ShenZhen value_Asia Budget 06 vs 05 Rev VAR with Asia Based Clients_Upshot Rev and Var - 200306-v6_bridge 2006 bud w forecast" xfId="994"/>
    <cellStyle name="_SC JulyQBR Final slide-ShenZhen value_Asia Budget 06 vs 05 Rev VAR with Asia Based Clients_Upshot Rev and Var - 200306-v6_Upshot Rev and Var - 200306-v11" xfId="995"/>
    <cellStyle name="_SC JulyQBR Final slide-ShenZhen value_Asia Budget 06 vs 05 Rev VAR with Asia Based Clients_Upshot Rev and Var - 200306-v6_Upshot Rev and Var - 200306-v11-elva" xfId="996"/>
    <cellStyle name="_SC JulyQBR Final slide-ShenZhen value_Asia Budget 06 vs 05 Rev VAR with Asia Based Clients_Upshot Rev and Var - 200306-v6_Upshot Rev and Var - 200306-v15" xfId="997"/>
    <cellStyle name="_SC JulyQBR Final slide-ShenZhen value_Asia Budget 06 vs 05 Rev VAR with Asia Based Clients_Upshot Rev and Var - 200306-v6_Upshot Rev and Var - 200306-v18" xfId="998"/>
    <cellStyle name="_SC JulyQBR Final slide-ShenZhen value_Asia Budget 06 vs 05 Rev VAR with Asia Based Clients_Upshot Rev and Var - 200306-v6_Upshot Rev and Var - 200306-v9  FOR lisa" xfId="999"/>
    <cellStyle name="_SC JulyQBR Final slide-ShenZhen value_Asia Budget 06 vs 05 Rev VAR with Asia Based Clients_Upshot Rev and Var - 200306-v9  FOR lisa" xfId="1000"/>
    <cellStyle name="_SC JulyQBR Final slide-ShenZhen value_bridge 2006 bud w forecast" xfId="1001"/>
    <cellStyle name="_SC JulyQBR Final slide-ShenZhen value_CAPEX FY2006_KS_0111" xfId="1002"/>
    <cellStyle name="_SC JulyQBR Final slide-ShenZhen value_Trial Asia Budget 06 vs 05 Rev VAR with Asia Based Clients" xfId="1003"/>
    <cellStyle name="_SC JulyQBR Final slide-ShenZhen value_Trial Asia Budget 06 vs 05 Rev VAR with Asia Based Clients_bridge 2006 bud w forecast" xfId="1004"/>
    <cellStyle name="_SC JulyQBR Final slide-ShenZhen value_Trial Asia Budget 06 vs 05 Rev VAR with Asia Based Clients_upshot Rev and Var - 200306-Revised-v2" xfId="1005"/>
    <cellStyle name="_SC JulyQBR Final slide-ShenZhen value_Trial Asia Budget 06 vs 05 Rev VAR with Asia Based Clients_upshot Rev and Var - 200306-Revised-v2_bridge 2006 bud w forecast" xfId="1006"/>
    <cellStyle name="_SC JulyQBR Final slide-ShenZhen value_Trial Asia Budget 06 vs 05 Rev VAR with Asia Based Clients_upshot Rev and Var - 200306-Revised-v2_Upshot Rev and Var - 200306-v11" xfId="1007"/>
    <cellStyle name="_SC JulyQBR Final slide-ShenZhen value_Trial Asia Budget 06 vs 05 Rev VAR with Asia Based Clients_upshot Rev and Var - 200306-Revised-v2_Upshot Rev and Var - 200306-v11-elva" xfId="1008"/>
    <cellStyle name="_SC JulyQBR Final slide-ShenZhen value_Trial Asia Budget 06 vs 05 Rev VAR with Asia Based Clients_upshot Rev and Var - 200306-Revised-v2_Upshot Rev and Var - 200306-v15" xfId="1009"/>
    <cellStyle name="_SC JulyQBR Final slide-ShenZhen value_Trial Asia Budget 06 vs 05 Rev VAR with Asia Based Clients_upshot Rev and Var - 200306-Revised-v2_Upshot Rev and Var - 200306-v18" xfId="1010"/>
    <cellStyle name="_SC JulyQBR Final slide-ShenZhen value_Trial Asia Budget 06 vs 05 Rev VAR with Asia Based Clients_upshot Rev and Var - 200306-Revised-v2_Upshot Rev and Var - 200306-v9  FOR lisa" xfId="1011"/>
    <cellStyle name="_SC JulyQBR Final slide-ShenZhen value_Trial Asia Budget 06 vs 05 Rev VAR with Asia Based Clients_Upshot Rev and Var - 200306-v11" xfId="1012"/>
    <cellStyle name="_SC JulyQBR Final slide-ShenZhen value_Trial Asia Budget 06 vs 05 Rev VAR with Asia Based Clients_Upshot Rev and Var - 200306-v11-elva" xfId="1013"/>
    <cellStyle name="_SC JulyQBR Final slide-ShenZhen value_Trial Asia Budget 06 vs 05 Rev VAR with Asia Based Clients_Upshot Rev and Var - 200306-v15" xfId="1014"/>
    <cellStyle name="_SC JulyQBR Final slide-ShenZhen value_Trial Asia Budget 06 vs 05 Rev VAR with Asia Based Clients_Upshot Rev and Var - 200306-v18" xfId="1015"/>
    <cellStyle name="_SC JulyQBR Final slide-ShenZhen value_Trial Asia Budget 06 vs 05 Rev VAR with Asia Based Clients_Upshot Rev and Var - 200306-v6" xfId="1016"/>
    <cellStyle name="_SC JulyQBR Final slide-ShenZhen value_Trial Asia Budget 06 vs 05 Rev VAR with Asia Based Clients_Upshot Rev and Var - 200306-v6_bridge 2006 bud w forecast" xfId="1017"/>
    <cellStyle name="_SC JulyQBR Final slide-ShenZhen value_Trial Asia Budget 06 vs 05 Rev VAR with Asia Based Clients_Upshot Rev and Var - 200306-v6_Upshot Rev and Var - 200306-v11" xfId="1018"/>
    <cellStyle name="_SC JulyQBR Final slide-ShenZhen value_Trial Asia Budget 06 vs 05 Rev VAR with Asia Based Clients_Upshot Rev and Var - 200306-v6_Upshot Rev and Var - 200306-v11-elva" xfId="1019"/>
    <cellStyle name="_SC JulyQBR Final slide-ShenZhen value_Trial Asia Budget 06 vs 05 Rev VAR with Asia Based Clients_Upshot Rev and Var - 200306-v6_Upshot Rev and Var - 200306-v15" xfId="1020"/>
    <cellStyle name="_SC JulyQBR Final slide-ShenZhen value_Trial Asia Budget 06 vs 05 Rev VAR with Asia Based Clients_Upshot Rev and Var - 200306-v6_Upshot Rev and Var - 200306-v18" xfId="1021"/>
    <cellStyle name="_SC JulyQBR Final slide-ShenZhen value_Trial Asia Budget 06 vs 05 Rev VAR with Asia Based Clients_Upshot Rev and Var - 200306-v6_Upshot Rev and Var - 200306-v9  FOR lisa" xfId="1022"/>
    <cellStyle name="_SC JulyQBR Final slide-ShenZhen value_Trial Asia Budget 06 vs 05 Rev VAR with Asia Based Clients_Upshot Rev and Var - 200306-v9  FOR lisa" xfId="1023"/>
    <cellStyle name="_SC JulyQBR Final slide-ShenZhen value_upshot Rev and Var - 200306-Revised-v2" xfId="1024"/>
    <cellStyle name="_SC JulyQBR Final slide-ShenZhen value_upshot Rev and Var - 200306-Revised-v2_bridge 2006 bud w forecast" xfId="1025"/>
    <cellStyle name="_SC JulyQBR Final slide-ShenZhen value_upshot Rev and Var - 200306-Revised-v2_Upshot Rev and Var - 200306-v11" xfId="1026"/>
    <cellStyle name="_SC JulyQBR Final slide-ShenZhen value_upshot Rev and Var - 200306-Revised-v2_Upshot Rev and Var - 200306-v11-elva" xfId="1027"/>
    <cellStyle name="_SC JulyQBR Final slide-ShenZhen value_upshot Rev and Var - 200306-Revised-v2_Upshot Rev and Var - 200306-v15" xfId="1028"/>
    <cellStyle name="_SC JulyQBR Final slide-ShenZhen value_upshot Rev and Var - 200306-Revised-v2_Upshot Rev and Var - 200306-v18" xfId="1029"/>
    <cellStyle name="_SC JulyQBR Final slide-ShenZhen value_upshot Rev and Var - 200306-Revised-v2_Upshot Rev and Var - 200306-v9  FOR lisa" xfId="1030"/>
    <cellStyle name="_SC JulyQBR Final slide-ShenZhen value_Upshot Rev and Var - 200306-v11" xfId="1031"/>
    <cellStyle name="_SC JulyQBR Final slide-ShenZhen value_Upshot Rev and Var - 200306-v11-elva" xfId="1032"/>
    <cellStyle name="_SC JulyQBR Final slide-ShenZhen value_Upshot Rev and Var - 200306-v15" xfId="1033"/>
    <cellStyle name="_SC JulyQBR Final slide-ShenZhen value_Upshot Rev and Var - 200306-v18" xfId="1034"/>
    <cellStyle name="_SC JulyQBR Final slide-ShenZhen value_Upshot Rev and Var - 200306-v6" xfId="1035"/>
    <cellStyle name="_SC JulyQBR Final slide-ShenZhen value_Upshot Rev and Var - 200306-v6_bridge 2006 bud w forecast" xfId="1036"/>
    <cellStyle name="_SC JulyQBR Final slide-ShenZhen value_Upshot Rev and Var - 200306-v6_Upshot Rev and Var - 200306-v11" xfId="1037"/>
    <cellStyle name="_SC JulyQBR Final slide-ShenZhen value_Upshot Rev and Var - 200306-v6_Upshot Rev and Var - 200306-v11-elva" xfId="1038"/>
    <cellStyle name="_SC JulyQBR Final slide-ShenZhen value_Upshot Rev and Var - 200306-v6_Upshot Rev and Var - 200306-v15" xfId="1039"/>
    <cellStyle name="_SC JulyQBR Final slide-ShenZhen value_Upshot Rev and Var - 200306-v6_Upshot Rev and Var - 200306-v18" xfId="1040"/>
    <cellStyle name="_SC JulyQBR Final slide-ShenZhen value_Upshot Rev and Var - 200306-v6_Upshot Rev and Var - 200306-v9  FOR lisa" xfId="1041"/>
    <cellStyle name="_SC JulyQBR Final slide-ShenZhen value_Upshot Rev and Var - 200306-v9  FOR lisa" xfId="1042"/>
    <cellStyle name="_Solutions by Global Acct" xfId="1043"/>
    <cellStyle name="_Standard Costs ~Simple Tech" xfId="1044"/>
    <cellStyle name="_Standard Costs ~Simple Tech_Comcast - DTA P&amp;L v18A - 12-03-08 - Single DTA - Volume Sensitivity - n60" xfId="1045"/>
    <cellStyle name="_Standard Costs ~Simple Tech_MSAR_HP_capex" xfId="1046"/>
    <cellStyle name="_Standard Costs ~Simple Tech_Sony PL BRNO June 2009 - V1" xfId="1047"/>
    <cellStyle name="_TableHead" xfId="1048"/>
    <cellStyle name="_Tax-rate" xfId="1049"/>
    <cellStyle name="_Tax-rate_AMD pricing version 2" xfId="1050"/>
    <cellStyle name="_Tax-rate_Asia Budget 06 vs 05 Rev VAR with Asia Based Clients" xfId="1051"/>
    <cellStyle name="_Tax-rate_Asia Budget 06 vs 05 Rev VAR with Asia Based Clients_bridge 2006 bud w forecast" xfId="1052"/>
    <cellStyle name="_Tax-rate_Asia Budget 06 vs 05 Rev VAR with Asia Based Clients_upshot Rev and Var - 200306-Revised-v2" xfId="1053"/>
    <cellStyle name="_Tax-rate_Asia Budget 06 vs 05 Rev VAR with Asia Based Clients_upshot Rev and Var - 200306-Revised-v2_bridge 2006 bud w forecast" xfId="1054"/>
    <cellStyle name="_Tax-rate_Asia Budget 06 vs 05 Rev VAR with Asia Based Clients_upshot Rev and Var - 200306-Revised-v2_Upshot Rev and Var - 200306-v11" xfId="1055"/>
    <cellStyle name="_Tax-rate_Asia Budget 06 vs 05 Rev VAR with Asia Based Clients_upshot Rev and Var - 200306-Revised-v2_Upshot Rev and Var - 200306-v11-elva" xfId="1056"/>
    <cellStyle name="_Tax-rate_Asia Budget 06 vs 05 Rev VAR with Asia Based Clients_upshot Rev and Var - 200306-Revised-v2_Upshot Rev and Var - 200306-v15" xfId="1057"/>
    <cellStyle name="_Tax-rate_Asia Budget 06 vs 05 Rev VAR with Asia Based Clients_upshot Rev and Var - 200306-Revised-v2_Upshot Rev and Var - 200306-v18" xfId="1058"/>
    <cellStyle name="_Tax-rate_Asia Budget 06 vs 05 Rev VAR with Asia Based Clients_upshot Rev and Var - 200306-Revised-v2_Upshot Rev and Var - 200306-v9  FOR lisa" xfId="1059"/>
    <cellStyle name="_Tax-rate_Asia Budget 06 vs 05 Rev VAR with Asia Based Clients_Upshot Rev and Var - 200306-v11" xfId="1060"/>
    <cellStyle name="_Tax-rate_Asia Budget 06 vs 05 Rev VAR with Asia Based Clients_Upshot Rev and Var - 200306-v11-elva" xfId="1061"/>
    <cellStyle name="_Tax-rate_Asia Budget 06 vs 05 Rev VAR with Asia Based Clients_Upshot Rev and Var - 200306-v15" xfId="1062"/>
    <cellStyle name="_Tax-rate_Asia Budget 06 vs 05 Rev VAR with Asia Based Clients_Upshot Rev and Var - 200306-v18" xfId="1063"/>
    <cellStyle name="_Tax-rate_Asia Budget 06 vs 05 Rev VAR with Asia Based Clients_Upshot Rev and Var - 200306-v6" xfId="1064"/>
    <cellStyle name="_Tax-rate_Asia Budget 06 vs 05 Rev VAR with Asia Based Clients_Upshot Rev and Var - 200306-v6_bridge 2006 bud w forecast" xfId="1065"/>
    <cellStyle name="_Tax-rate_Asia Budget 06 vs 05 Rev VAR with Asia Based Clients_Upshot Rev and Var - 200306-v6_Upshot Rev and Var - 200306-v11" xfId="1066"/>
    <cellStyle name="_Tax-rate_Asia Budget 06 vs 05 Rev VAR with Asia Based Clients_Upshot Rev and Var - 200306-v6_Upshot Rev and Var - 200306-v11-elva" xfId="1067"/>
    <cellStyle name="_Tax-rate_Asia Budget 06 vs 05 Rev VAR with Asia Based Clients_Upshot Rev and Var - 200306-v6_Upshot Rev and Var - 200306-v15" xfId="1068"/>
    <cellStyle name="_Tax-rate_Asia Budget 06 vs 05 Rev VAR with Asia Based Clients_Upshot Rev and Var - 200306-v6_Upshot Rev and Var - 200306-v18" xfId="1069"/>
    <cellStyle name="_Tax-rate_Asia Budget 06 vs 05 Rev VAR with Asia Based Clients_Upshot Rev and Var - 200306-v6_Upshot Rev and Var - 200306-v9  FOR lisa" xfId="1070"/>
    <cellStyle name="_Tax-rate_Asia Budget 06 vs 05 Rev VAR with Asia Based Clients_Upshot Rev and Var - 200306-v9  FOR lisa" xfId="1071"/>
    <cellStyle name="_Tax-rate_bridge 2006 bud w forecast" xfId="1072"/>
    <cellStyle name="_Tax-rate_CAPEX FY2006_KS_0111" xfId="1073"/>
    <cellStyle name="_Tax-rate_Trial Asia Budget 06 vs 05 Rev VAR with Asia Based Clients" xfId="1074"/>
    <cellStyle name="_Tax-rate_Trial Asia Budget 06 vs 05 Rev VAR with Asia Based Clients_bridge 2006 bud w forecast" xfId="1075"/>
    <cellStyle name="_Tax-rate_Trial Asia Budget 06 vs 05 Rev VAR with Asia Based Clients_upshot Rev and Var - 200306-Revised-v2" xfId="1076"/>
    <cellStyle name="_Tax-rate_Trial Asia Budget 06 vs 05 Rev VAR with Asia Based Clients_upshot Rev and Var - 200306-Revised-v2_bridge 2006 bud w forecast" xfId="1077"/>
    <cellStyle name="_Tax-rate_Trial Asia Budget 06 vs 05 Rev VAR with Asia Based Clients_upshot Rev and Var - 200306-Revised-v2_Upshot Rev and Var - 200306-v11" xfId="1078"/>
    <cellStyle name="_Tax-rate_Trial Asia Budget 06 vs 05 Rev VAR with Asia Based Clients_upshot Rev and Var - 200306-Revised-v2_Upshot Rev and Var - 200306-v11-elva" xfId="1079"/>
    <cellStyle name="_Tax-rate_Trial Asia Budget 06 vs 05 Rev VAR with Asia Based Clients_upshot Rev and Var - 200306-Revised-v2_Upshot Rev and Var - 200306-v15" xfId="1080"/>
    <cellStyle name="_Tax-rate_Trial Asia Budget 06 vs 05 Rev VAR with Asia Based Clients_upshot Rev and Var - 200306-Revised-v2_Upshot Rev and Var - 200306-v18" xfId="1081"/>
    <cellStyle name="_Tax-rate_Trial Asia Budget 06 vs 05 Rev VAR with Asia Based Clients_upshot Rev and Var - 200306-Revised-v2_Upshot Rev and Var - 200306-v9  FOR lisa" xfId="1082"/>
    <cellStyle name="_Tax-rate_Trial Asia Budget 06 vs 05 Rev VAR with Asia Based Clients_Upshot Rev and Var - 200306-v11" xfId="1083"/>
    <cellStyle name="_Tax-rate_Trial Asia Budget 06 vs 05 Rev VAR with Asia Based Clients_Upshot Rev and Var - 200306-v11-elva" xfId="1084"/>
    <cellStyle name="_Tax-rate_Trial Asia Budget 06 vs 05 Rev VAR with Asia Based Clients_Upshot Rev and Var - 200306-v15" xfId="1085"/>
    <cellStyle name="_Tax-rate_Trial Asia Budget 06 vs 05 Rev VAR with Asia Based Clients_Upshot Rev and Var - 200306-v18" xfId="1086"/>
    <cellStyle name="_Tax-rate_Trial Asia Budget 06 vs 05 Rev VAR with Asia Based Clients_Upshot Rev and Var - 200306-v6" xfId="1087"/>
    <cellStyle name="_Tax-rate_Trial Asia Budget 06 vs 05 Rev VAR with Asia Based Clients_Upshot Rev and Var - 200306-v6_bridge 2006 bud w forecast" xfId="1088"/>
    <cellStyle name="_Tax-rate_Trial Asia Budget 06 vs 05 Rev VAR with Asia Based Clients_Upshot Rev and Var - 200306-v6_Upshot Rev and Var - 200306-v11" xfId="1089"/>
    <cellStyle name="_Tax-rate_Trial Asia Budget 06 vs 05 Rev VAR with Asia Based Clients_Upshot Rev and Var - 200306-v6_Upshot Rev and Var - 200306-v11-elva" xfId="1090"/>
    <cellStyle name="_Tax-rate_Trial Asia Budget 06 vs 05 Rev VAR with Asia Based Clients_Upshot Rev and Var - 200306-v6_Upshot Rev and Var - 200306-v15" xfId="1091"/>
    <cellStyle name="_Tax-rate_Trial Asia Budget 06 vs 05 Rev VAR with Asia Based Clients_Upshot Rev and Var - 200306-v6_Upshot Rev and Var - 200306-v18" xfId="1092"/>
    <cellStyle name="_Tax-rate_Trial Asia Budget 06 vs 05 Rev VAR with Asia Based Clients_Upshot Rev and Var - 200306-v6_Upshot Rev and Var - 200306-v9  FOR lisa" xfId="1093"/>
    <cellStyle name="_Tax-rate_Trial Asia Budget 06 vs 05 Rev VAR with Asia Based Clients_Upshot Rev and Var - 200306-v9  FOR lisa" xfId="1094"/>
    <cellStyle name="_Tax-rate_upshot Rev and Var - 200306-Revised-v2" xfId="1095"/>
    <cellStyle name="_Tax-rate_upshot Rev and Var - 200306-Revised-v2_bridge 2006 bud w forecast" xfId="1096"/>
    <cellStyle name="_Tax-rate_upshot Rev and Var - 200306-Revised-v2_Upshot Rev and Var - 200306-v11" xfId="1097"/>
    <cellStyle name="_Tax-rate_upshot Rev and Var - 200306-Revised-v2_Upshot Rev and Var - 200306-v11-elva" xfId="1098"/>
    <cellStyle name="_Tax-rate_upshot Rev and Var - 200306-Revised-v2_Upshot Rev and Var - 200306-v15" xfId="1099"/>
    <cellStyle name="_Tax-rate_upshot Rev and Var - 200306-Revised-v2_Upshot Rev and Var - 200306-v18" xfId="1100"/>
    <cellStyle name="_Tax-rate_upshot Rev and Var - 200306-Revised-v2_Upshot Rev and Var - 200306-v9  FOR lisa" xfId="1101"/>
    <cellStyle name="_Tax-rate_Upshot Rev and Var - 200306-v11" xfId="1102"/>
    <cellStyle name="_Tax-rate_Upshot Rev and Var - 200306-v11-elva" xfId="1103"/>
    <cellStyle name="_Tax-rate_Upshot Rev and Var - 200306-v15" xfId="1104"/>
    <cellStyle name="_Tax-rate_Upshot Rev and Var - 200306-v18" xfId="1105"/>
    <cellStyle name="_Tax-rate_Upshot Rev and Var - 200306-v6" xfId="1106"/>
    <cellStyle name="_Tax-rate_Upshot Rev and Var - 200306-v6_bridge 2006 bud w forecast" xfId="1107"/>
    <cellStyle name="_Tax-rate_Upshot Rev and Var - 200306-v6_Upshot Rev and Var - 200306-v11" xfId="1108"/>
    <cellStyle name="_Tax-rate_Upshot Rev and Var - 200306-v6_Upshot Rev and Var - 200306-v11-elva" xfId="1109"/>
    <cellStyle name="_Tax-rate_Upshot Rev and Var - 200306-v6_Upshot Rev and Var - 200306-v15" xfId="1110"/>
    <cellStyle name="_Tax-rate_Upshot Rev and Var - 200306-v6_Upshot Rev and Var - 200306-v18" xfId="1111"/>
    <cellStyle name="_Tax-rate_Upshot Rev and Var - 200306-v6_Upshot Rev and Var - 200306-v9  FOR lisa" xfId="1112"/>
    <cellStyle name="_Tax-rate_Upshot Rev and Var - 200306-v9  FOR lisa" xfId="1113"/>
    <cellStyle name="_Test Moduslink FCST Feb 20090126" xfId="1114"/>
    <cellStyle name="_UPSHOT Asia Budget 06 vs 05  with Asia Based Clients FINAL (2) (3)" xfId="1115"/>
    <cellStyle name="_UPSHOT Asia Budget 06 vs 05  with Asia Based Clients FINAL (2) (3)_bridge 2006 bud w forecast" xfId="1116"/>
    <cellStyle name="_UPSHOT Asia Budget 06 vs 05  with Asia Based Clients FINAL (2) (3)_upshot Rev and Var - 200306-Revised-v2" xfId="1117"/>
    <cellStyle name="_UPSHOT Asia Budget 06 vs 05  with Asia Based Clients FINAL (2) (3)_upshot Rev and Var - 200306-Revised-v2_bridge 2006 bud w forecast" xfId="1118"/>
    <cellStyle name="_UPSHOT Asia Budget 06 vs 05  with Asia Based Clients FINAL (2) (3)_upshot Rev and Var - 200306-Revised-v2_Upshot Rev and Var - 200306-v11" xfId="1119"/>
    <cellStyle name="_UPSHOT Asia Budget 06 vs 05  with Asia Based Clients FINAL (2) (3)_upshot Rev and Var - 200306-Revised-v2_Upshot Rev and Var - 200306-v11-elva" xfId="1120"/>
    <cellStyle name="_UPSHOT Asia Budget 06 vs 05  with Asia Based Clients FINAL (2) (3)_upshot Rev and Var - 200306-Revised-v2_Upshot Rev and Var - 200306-v15" xfId="1121"/>
    <cellStyle name="_UPSHOT Asia Budget 06 vs 05  with Asia Based Clients FINAL (2) (3)_upshot Rev and Var - 200306-Revised-v2_Upshot Rev and Var - 200306-v18" xfId="1122"/>
    <cellStyle name="_UPSHOT Asia Budget 06 vs 05  with Asia Based Clients FINAL (2) (3)_upshot Rev and Var - 200306-Revised-v2_Upshot Rev and Var - 200306-v9  FOR lisa" xfId="1123"/>
    <cellStyle name="_UPSHOT Asia Budget 06 vs 05  with Asia Based Clients FINAL (2) (3)_Upshot Rev and Var - 200306-v11" xfId="1124"/>
    <cellStyle name="_UPSHOT Asia Budget 06 vs 05  with Asia Based Clients FINAL (2) (3)_Upshot Rev and Var - 200306-v11-elva" xfId="1125"/>
    <cellStyle name="_UPSHOT Asia Budget 06 vs 05  with Asia Based Clients FINAL (2) (3)_Upshot Rev and Var - 200306-v15" xfId="1126"/>
    <cellStyle name="_UPSHOT Asia Budget 06 vs 05  with Asia Based Clients FINAL (2) (3)_Upshot Rev and Var - 200306-v18" xfId="1127"/>
    <cellStyle name="_UPSHOT Asia Budget 06 vs 05  with Asia Based Clients FINAL (2) (3)_Upshot Rev and Var - 200306-v6" xfId="1128"/>
    <cellStyle name="_UPSHOT Asia Budget 06 vs 05  with Asia Based Clients FINAL (2) (3)_Upshot Rev and Var - 200306-v6_bridge 2006 bud w forecast" xfId="1129"/>
    <cellStyle name="_UPSHOT Asia Budget 06 vs 05  with Asia Based Clients FINAL (2) (3)_Upshot Rev and Var - 200306-v6_Upshot Rev and Var - 200306-v11" xfId="1130"/>
    <cellStyle name="_UPSHOT Asia Budget 06 vs 05  with Asia Based Clients FINAL (2) (3)_Upshot Rev and Var - 200306-v6_Upshot Rev and Var - 200306-v11-elva" xfId="1131"/>
    <cellStyle name="_UPSHOT Asia Budget 06 vs 05  with Asia Based Clients FINAL (2) (3)_Upshot Rev and Var - 200306-v6_Upshot Rev and Var - 200306-v15" xfId="1132"/>
    <cellStyle name="_UPSHOT Asia Budget 06 vs 05  with Asia Based Clients FINAL (2) (3)_Upshot Rev and Var - 200306-v6_Upshot Rev and Var - 200306-v18" xfId="1133"/>
    <cellStyle name="_UPSHOT Asia Budget 06 vs 05  with Asia Based Clients FINAL (2) (3)_Upshot Rev and Var - 200306-v6_Upshot Rev and Var - 200306-v9  FOR lisa" xfId="1134"/>
    <cellStyle name="_UPSHOT Asia Budget 06 vs 05  with Asia Based Clients FINAL (2) (3)_Upshot Rev and Var - 200306-v9  FOR lisa" xfId="1135"/>
    <cellStyle name="_upshot Rev and Var - 200306-v5" xfId="1136"/>
    <cellStyle name="_upshot Rev and Var - 200306-v5_bridge 2006 bud w forecast" xfId="1137"/>
    <cellStyle name="_upshot Rev and Var - 200306-v5_Upshot Rev and Var - 200306-v11" xfId="1138"/>
    <cellStyle name="_upshot Rev and Var - 200306-v5_Upshot Rev and Var - 200306-v11-elva" xfId="1139"/>
    <cellStyle name="_upshot Rev and Var - 200306-v5_Upshot Rev and Var - 200306-v15" xfId="1140"/>
    <cellStyle name="_upshot Rev and Var - 200306-v5_Upshot Rev and Var - 200306-v18" xfId="1141"/>
    <cellStyle name="_upshot Rev and Var - 200306-v5_Upshot Rev and Var - 200306-v9  FOR lisa" xfId="1142"/>
    <cellStyle name="_Upshot Rev and Var - 200306-v6" xfId="1143"/>
    <cellStyle name="£ BP" xfId="1144"/>
    <cellStyle name="¥ JY" xfId="1145"/>
    <cellStyle name="3232" xfId="1146"/>
    <cellStyle name="Accent1 - 20%" xfId="1147"/>
    <cellStyle name="Accent1 - 40%" xfId="1148"/>
    <cellStyle name="Accent1 - 60%" xfId="1149"/>
    <cellStyle name="Accent2 - 20%" xfId="1150"/>
    <cellStyle name="Accent2 - 40%" xfId="1151"/>
    <cellStyle name="Accent2 - 60%" xfId="1152"/>
    <cellStyle name="Accent3 - 20%" xfId="1153"/>
    <cellStyle name="Accent3 - 40%" xfId="1154"/>
    <cellStyle name="Accent3 - 60%" xfId="1155"/>
    <cellStyle name="Accent4 - 20%" xfId="1156"/>
    <cellStyle name="Accent4 - 40%" xfId="1157"/>
    <cellStyle name="Accent4 - 60%" xfId="1158"/>
    <cellStyle name="Accent5 - 20%" xfId="1159"/>
    <cellStyle name="Accent5 - 40%" xfId="1160"/>
    <cellStyle name="Accent5 - 60%" xfId="1161"/>
    <cellStyle name="Accent6 - 20%" xfId="1162"/>
    <cellStyle name="Accent6 - 40%" xfId="1163"/>
    <cellStyle name="Accent6 - 60%" xfId="1164"/>
    <cellStyle name="Actuals" xfId="1165"/>
    <cellStyle name="args.style" xfId="1166"/>
    <cellStyle name="Assumptions" xfId="1167"/>
    <cellStyle name="BigHead" xfId="1168"/>
    <cellStyle name="BlackText" xfId="1169"/>
    <cellStyle name="Bold/Border" xfId="1170"/>
    <cellStyle name="Box" xfId="1171"/>
    <cellStyle name="Bullet" xfId="1172"/>
    <cellStyle name="Calc Currency (0)" xfId="1173"/>
    <cellStyle name="Calc Currency (2)" xfId="1174"/>
    <cellStyle name="Calc Percent (0)" xfId="1175"/>
    <cellStyle name="Calc Percent (1)" xfId="1176"/>
    <cellStyle name="Calc Percent (2)" xfId="1177"/>
    <cellStyle name="Calc Units (0)" xfId="1178"/>
    <cellStyle name="Calc Units (1)" xfId="1179"/>
    <cellStyle name="Calc Units (2)" xfId="1180"/>
    <cellStyle name="Comma (3)" xfId="1181"/>
    <cellStyle name="Comma [00]" xfId="1182"/>
    <cellStyle name="Comma 2" xfId="1183"/>
    <cellStyle name="Comma 3" xfId="1184"/>
    <cellStyle name="Comma 4" xfId="1185"/>
    <cellStyle name="Comma0" xfId="1186"/>
    <cellStyle name="Copied" xfId="1187"/>
    <cellStyle name="Currency [00]" xfId="1188"/>
    <cellStyle name="Currency 2" xfId="1189"/>
    <cellStyle name="Currency 2 2" xfId="1190"/>
    <cellStyle name="Currency 3" xfId="1191"/>
    <cellStyle name="Currency 3 2" xfId="1192"/>
    <cellStyle name="Currency 4" xfId="1193"/>
    <cellStyle name="Currency0" xfId="1194"/>
    <cellStyle name="Dash" xfId="1195"/>
    <cellStyle name="Date" xfId="1196"/>
    <cellStyle name="Date Short" xfId="1197"/>
    <cellStyle name="Dates" xfId="1198"/>
    <cellStyle name="DELTA" xfId="1199"/>
    <cellStyle name="Dezimal [0]_laroux" xfId="1200"/>
    <cellStyle name="Dezimal_laroux" xfId="1201"/>
    <cellStyle name="Dialog_box_pattern" xfId="1202"/>
    <cellStyle name="Emphasis 1" xfId="1203"/>
    <cellStyle name="Emphasis 2" xfId="1204"/>
    <cellStyle name="Emphasis 3" xfId="1205"/>
    <cellStyle name="Enter Currency (0)" xfId="1206"/>
    <cellStyle name="Enter Currency (2)" xfId="1207"/>
    <cellStyle name="Enter Units (0)" xfId="1208"/>
    <cellStyle name="Enter Units (1)" xfId="1209"/>
    <cellStyle name="Enter Units (2)" xfId="1210"/>
    <cellStyle name="Entered" xfId="1211"/>
    <cellStyle name="Euro" xfId="1212"/>
    <cellStyle name="Fixed" xfId="1213"/>
    <cellStyle name="g" xfId="1214"/>
    <cellStyle name="g_14-Sales" xfId="1215"/>
    <cellStyle name="g_14-Sales_AMD pricing version 2" xfId="1216"/>
    <cellStyle name="g_14-Sales_CAPEX FY2006_KS_0111" xfId="1217"/>
    <cellStyle name="g_18-Sales" xfId="1218"/>
    <cellStyle name="g_18-Sales_AMD pricing version 2" xfId="1219"/>
    <cellStyle name="g_18-Sales_CAPEX FY2006_KS_0111" xfId="1220"/>
    <cellStyle name="g_6-20-2003 SC JulyQBR Final slide template-Taipei_Plant" xfId="1221"/>
    <cellStyle name="g_6-20-2003 SC JulyQBR Final slide template-Taipei_Plant_AMD pricing version 2" xfId="1222"/>
    <cellStyle name="g_6-20-2003 SC JulyQBR Final slide template-Taipei_Plant_CAPEX FY2006_KS_0111" xfId="1223"/>
    <cellStyle name="g_8650-ER" xfId="1224"/>
    <cellStyle name="g_8650-ER_AMD pricing version 2" xfId="1225"/>
    <cellStyle name="g_8650-ER_April QBR Greater China Outlook 2004 @ 040302" xfId="1226"/>
    <cellStyle name="g_8650-ER_April QBR Greater China Outlook 2004 @ 040302_AMD pricing version 2" xfId="1227"/>
    <cellStyle name="g_8650-ER_April QBR Greater China Outlook 2004 @ 040302_CAPEX FY2006_KS_0111" xfId="1228"/>
    <cellStyle name="g_8650-ER_April QBR Greater China Outlook 2004 @ 040317" xfId="1229"/>
    <cellStyle name="g_8650-ER_April QBR Greater China Outlook 2004 @ 040317_AMD pricing version 2" xfId="1230"/>
    <cellStyle name="g_8650-ER_April QBR Greater China Outlook 2004 @ 040317_CAPEX FY2006_KS_0111" xfId="1231"/>
    <cellStyle name="g_8650-ER_Asia Actuals 200405 vs Budget 200405 by SC" xfId="1232"/>
    <cellStyle name="g_8650-ER_Asia APRQBR 1st Pass-2" xfId="1233"/>
    <cellStyle name="g_8650-ER_Asia APRQBR 1st Pass-2_AMD pricing version 2" xfId="1234"/>
    <cellStyle name="g_8650-ER_Asia APRQBR 1st Pass-2_CAPEX FY2006_KS_0111" xfId="1235"/>
    <cellStyle name="g_8650-ER_Asia APRQBR 1st Pass-3" xfId="1236"/>
    <cellStyle name="g_8650-ER_Asia APRQBR 1st Pass-3_AMD pricing version 2" xfId="1237"/>
    <cellStyle name="g_8650-ER_Asia APRQBR 1st Pass-3_CAPEX FY2006_KS_0111" xfId="1238"/>
    <cellStyle name="g_8650-ER_Asia Budget 2005 vs AprQBR by SC" xfId="1239"/>
    <cellStyle name="g_8650-ER_Asia Budget 2005 vs AprQBR by SC_AMD pricing version 2" xfId="1240"/>
    <cellStyle name="g_8650-ER_Asia Budget 2005 vs AprQBR by SC_CAPEX FY2006_KS_0111" xfId="1241"/>
    <cellStyle name="g_8650-ER_Asia Budget 2005 vs Prioryr by SC" xfId="1242"/>
    <cellStyle name="g_8650-ER_Book1" xfId="1243"/>
    <cellStyle name="g_8650-ER_Budget 2005" xfId="1244"/>
    <cellStyle name="g_8650-ER_Budget 2005_AMD pricing version 2" xfId="1245"/>
    <cellStyle name="g_8650-ER_Budget 2005_CAPEX FY2006_KS_0111" xfId="1246"/>
    <cellStyle name="g_8650-ER_CAPEX FY2006_KS_0111" xfId="1247"/>
    <cellStyle name="g_8650-ER_Copy of April QBR Greater China Outlook 2004 @ 040302" xfId="1248"/>
    <cellStyle name="g_8650-ER_Copy of April QBR Greater China Outlook 2004 @ 040302_AMD pricing version 2" xfId="1249"/>
    <cellStyle name="g_8650-ER_Copy of April QBR Greater China Outlook 2004 @ 040302_CAPEX FY2006_KS_0111" xfId="1250"/>
    <cellStyle name="g_8650-ER_Fina April QBR Greater China Outlook report @ 040416" xfId="1251"/>
    <cellStyle name="g_8650-ER_Fina April QBR Greater China Outlook report @ 040416_AMD pricing version 2" xfId="1252"/>
    <cellStyle name="g_8650-ER_Fina April QBR Greater China Outlook report @ 040416_CAPEX FY2006_KS_0111" xfId="1253"/>
    <cellStyle name="g_8650-ER_Greater China 2004  budget@24th Nov'03" xfId="1254"/>
    <cellStyle name="g_8650-ER_Greater China 2004  budget@24th Nov'03(1)" xfId="1255"/>
    <cellStyle name="g_8650-ER_Greater China 2004  budget@24th Nov'03(1)_AMD pricing version 2" xfId="1256"/>
    <cellStyle name="g_8650-ER_Greater China 2004  budget@24th Nov'03(1)_CAPEX FY2006_KS_0111" xfId="1257"/>
    <cellStyle name="g_8650-ER_Greater China 2004  budget@24th Nov'03_AMD pricing version 2" xfId="1258"/>
    <cellStyle name="g_8650-ER_Greater China 2004  budget@24th Nov'03_CAPEX FY2006_KS_0111" xfId="1259"/>
    <cellStyle name="g_8650-ER_Greater China 2004  budget@3rd Nov'03" xfId="1260"/>
    <cellStyle name="g_8650-ER_Greater China 2004  budget@3rd Nov'03_AMD pricing version 2" xfId="1261"/>
    <cellStyle name="g_8650-ER_Greater China 2004  budget@3rd Nov'03_CAPEX FY2006_KS_0111" xfId="1262"/>
    <cellStyle name="g_8650-ER_Greater China 2005 bud vs actual  and 2006 budget@050316David updated Japan accounts" xfId="1263"/>
    <cellStyle name="g_8650-ER_Greater China 2005 budget after Final version @040901" xfId="1264"/>
    <cellStyle name="g_8650-ER_Greater China 2005 budget draft@040806" xfId="1265"/>
    <cellStyle name="g_8650-ER_Greater China 2005 budget draft@040806_AMD pricing version 2" xfId="1266"/>
    <cellStyle name="g_8650-ER_Greater China 2005 budget draft@040806_CAPEX FY2006_KS_0111" xfId="1267"/>
    <cellStyle name="g_8650-ER_Greater China 2005 budget NC adjusted after Final @040831" xfId="1268"/>
    <cellStyle name="g_8650-ER_Greater China 2005 budget vs actual  @041026" xfId="1269"/>
    <cellStyle name="g_8650-ER_Greater China 2005 budget vs actual  and 2006 budget@050317 1st cut" xfId="1270"/>
    <cellStyle name="g_8650-ER_Greater China 2005 budget vs actual  and 2006 budget@050317 1st cut---CC" xfId="1271"/>
    <cellStyle name="g_8650-ER_Greater China 2006 budget@020304 " xfId="1272"/>
    <cellStyle name="g_8650-ER_Greater China New business by Sales Manager@ 15th April'04" xfId="1273"/>
    <cellStyle name="g_8650-ER_Greater China New business by Sales Manager@ 15th April'04_AMD pricing version 2" xfId="1274"/>
    <cellStyle name="g_8650-ER_Greater China New business by Sales Manager@ 15th April'04_CAPEX FY2006_KS_0111" xfId="1275"/>
    <cellStyle name="g_8650-ER_Greater China Oct QBR_Oct Actual@7 Nov 2003" xfId="1276"/>
    <cellStyle name="g_8650-ER_Greater China Oct QBR_Oct Actual@7 Nov 2003_AMD pricing version 2" xfId="1277"/>
    <cellStyle name="g_8650-ER_Greater China Oct QBR_Oct Actual@7 Nov 2003_CAPEX FY2006_KS_0111" xfId="1278"/>
    <cellStyle name="g_8650-ER_Greater China Outlook 2004 forecast by week @ 040210-97" xfId="1279"/>
    <cellStyle name="g_8650-ER_Greater China Outlook 2004 forecast by week @ 040210-97_AMD pricing version 2" xfId="1280"/>
    <cellStyle name="g_8650-ER_Greater China Outlook 2004 forecast by week @ 040210-97_CAPEX FY2006_KS_0111" xfId="1281"/>
    <cellStyle name="g_8650-ER_Greater China Outlook report @ 040616" xfId="1282"/>
    <cellStyle name="g_8650-ER_Greater China Outlook report @ 040616_AMD pricing version 2" xfId="1283"/>
    <cellStyle name="g_8650-ER_Greater China Outlook report @ 040616_CAPEX FY2006_KS_0111" xfId="1284"/>
    <cellStyle name="g_8650-ER_Greater Chn Outlook Sum@16th June'03" xfId="1285"/>
    <cellStyle name="g_8650-ER_Greater Chn Outlook Sum@16th June'03_AMD pricing version 2" xfId="1286"/>
    <cellStyle name="g_8650-ER_Greater Chn Outlook Sum@16th June'03_April QBR Greater China Outlook 2004 @ 040302" xfId="1287"/>
    <cellStyle name="g_8650-ER_Greater Chn Outlook Sum@16th June'03_April QBR Greater China Outlook 2004 @ 040302_AMD pricing version 2" xfId="1288"/>
    <cellStyle name="g_8650-ER_Greater Chn Outlook Sum@16th June'03_April QBR Greater China Outlook 2004 @ 040302_CAPEX FY2006_KS_0111" xfId="1289"/>
    <cellStyle name="g_8650-ER_Greater Chn Outlook Sum@16th June'03_April QBR Greater China Outlook 2004 @ 040317" xfId="1290"/>
    <cellStyle name="g_8650-ER_Greater Chn Outlook Sum@16th June'03_April QBR Greater China Outlook 2004 @ 040317_AMD pricing version 2" xfId="1291"/>
    <cellStyle name="g_8650-ER_Greater Chn Outlook Sum@16th June'03_April QBR Greater China Outlook 2004 @ 040317_CAPEX FY2006_KS_0111" xfId="1292"/>
    <cellStyle name="g_8650-ER_Greater Chn Outlook Sum@16th June'03_Asia Actuals 200405 vs Budget 200405 by SC" xfId="1293"/>
    <cellStyle name="g_8650-ER_Greater Chn Outlook Sum@16th June'03_Asia APRQBR 1st Pass-2" xfId="1294"/>
    <cellStyle name="g_8650-ER_Greater Chn Outlook Sum@16th June'03_Asia APRQBR 1st Pass-2_AMD pricing version 2" xfId="1295"/>
    <cellStyle name="g_8650-ER_Greater Chn Outlook Sum@16th June'03_Asia APRQBR 1st Pass-2_CAPEX FY2006_KS_0111" xfId="1296"/>
    <cellStyle name="g_8650-ER_Greater Chn Outlook Sum@16th June'03_Asia APRQBR 1st Pass-3" xfId="1297"/>
    <cellStyle name="g_8650-ER_Greater Chn Outlook Sum@16th June'03_Asia APRQBR 1st Pass-3_AMD pricing version 2" xfId="1298"/>
    <cellStyle name="g_8650-ER_Greater Chn Outlook Sum@16th June'03_Asia APRQBR 1st Pass-3_CAPEX FY2006_KS_0111" xfId="1299"/>
    <cellStyle name="g_8650-ER_Greater Chn Outlook Sum@16th June'03_Asia Budget 2005 vs AprQBR by SC" xfId="1300"/>
    <cellStyle name="g_8650-ER_Greater Chn Outlook Sum@16th June'03_Asia Budget 2005 vs AprQBR by SC_AMD pricing version 2" xfId="1301"/>
    <cellStyle name="g_8650-ER_Greater Chn Outlook Sum@16th June'03_Asia Budget 2005 vs AprQBR by SC_CAPEX FY2006_KS_0111" xfId="1302"/>
    <cellStyle name="g_8650-ER_Greater Chn Outlook Sum@16th June'03_Asia Budget 2005 vs Prioryr by SC" xfId="1303"/>
    <cellStyle name="g_8650-ER_Greater Chn Outlook Sum@16th June'03_Book1" xfId="1304"/>
    <cellStyle name="g_8650-ER_Greater Chn Outlook Sum@16th June'03_Budget 2005" xfId="1305"/>
    <cellStyle name="g_8650-ER_Greater Chn Outlook Sum@16th June'03_Budget 2005_AMD pricing version 2" xfId="1306"/>
    <cellStyle name="g_8650-ER_Greater Chn Outlook Sum@16th June'03_Budget 2005_CAPEX FY2006_KS_0111" xfId="1307"/>
    <cellStyle name="g_8650-ER_Greater Chn Outlook Sum@16th June'03_CAPEX FY2006_KS_0111" xfId="1308"/>
    <cellStyle name="g_8650-ER_Greater Chn Outlook Sum@16th June'03_Copy of April QBR Greater China Outlook 2004 @ 040302" xfId="1309"/>
    <cellStyle name="g_8650-ER_Greater Chn Outlook Sum@16th June'03_Copy of April QBR Greater China Outlook 2004 @ 040302_AMD pricing version 2" xfId="1310"/>
    <cellStyle name="g_8650-ER_Greater Chn Outlook Sum@16th June'03_Copy of April QBR Greater China Outlook 2004 @ 040302_CAPEX FY2006_KS_0111" xfId="1311"/>
    <cellStyle name="g_8650-ER_Greater Chn Outlook Sum@16th June'03_Fina April QBR Greater China Outlook report @ 040416" xfId="1312"/>
    <cellStyle name="g_8650-ER_Greater Chn Outlook Sum@16th June'03_Fina April QBR Greater China Outlook report @ 040416_AMD pricing version 2" xfId="1313"/>
    <cellStyle name="g_8650-ER_Greater Chn Outlook Sum@16th June'03_Fina April QBR Greater China Outlook report @ 040416_CAPEX FY2006_KS_0111" xfId="1314"/>
    <cellStyle name="g_8650-ER_Greater Chn Outlook Sum@16th June'03_Greater China 2004  budget@24th Nov'03" xfId="1315"/>
    <cellStyle name="g_8650-ER_Greater Chn Outlook Sum@16th June'03_Greater China 2004  budget@24th Nov'03(1)" xfId="1316"/>
    <cellStyle name="g_8650-ER_Greater Chn Outlook Sum@16th June'03_Greater China 2004  budget@24th Nov'03(1)_AMD pricing version 2" xfId="1317"/>
    <cellStyle name="g_8650-ER_Greater Chn Outlook Sum@16th June'03_Greater China 2004  budget@24th Nov'03(1)_CAPEX FY2006_KS_0111" xfId="1318"/>
    <cellStyle name="g_8650-ER_Greater Chn Outlook Sum@16th June'03_Greater China 2004  budget@24th Nov'03_AMD pricing version 2" xfId="1319"/>
    <cellStyle name="g_8650-ER_Greater Chn Outlook Sum@16th June'03_Greater China 2004  budget@24th Nov'03_CAPEX FY2006_KS_0111" xfId="1320"/>
    <cellStyle name="g_8650-ER_Greater Chn Outlook Sum@16th June'03_Greater China 2004  budget@3rd Nov'03" xfId="1321"/>
    <cellStyle name="g_8650-ER_Greater Chn Outlook Sum@16th June'03_Greater China 2004  budget@3rd Nov'03_AMD pricing version 2" xfId="1322"/>
    <cellStyle name="g_8650-ER_Greater Chn Outlook Sum@16th June'03_Greater China 2004  budget@3rd Nov'03_CAPEX FY2006_KS_0111" xfId="1323"/>
    <cellStyle name="g_8650-ER_Greater Chn Outlook Sum@16th June'03_Greater China 2005 bud vs actual  and 2006 budget@050316David updated Japan accounts" xfId="1324"/>
    <cellStyle name="g_8650-ER_Greater Chn Outlook Sum@16th June'03_Greater China 2005 budget after Final version @040901" xfId="1325"/>
    <cellStyle name="g_8650-ER_Greater Chn Outlook Sum@16th June'03_Greater China 2005 budget draft@040806" xfId="1326"/>
    <cellStyle name="g_8650-ER_Greater Chn Outlook Sum@16th June'03_Greater China 2005 budget draft@040806_AMD pricing version 2" xfId="1327"/>
    <cellStyle name="g_8650-ER_Greater Chn Outlook Sum@16th June'03_Greater China 2005 budget draft@040806_CAPEX FY2006_KS_0111" xfId="1328"/>
    <cellStyle name="g_8650-ER_Greater Chn Outlook Sum@16th June'03_Greater China 2005 budget NC adjusted after Final @040831" xfId="1329"/>
    <cellStyle name="g_8650-ER_Greater Chn Outlook Sum@16th June'03_Greater China 2005 budget vs actual  @041026" xfId="1330"/>
    <cellStyle name="g_8650-ER_Greater Chn Outlook Sum@16th June'03_Greater China 2005 budget vs actual  and 2006 budget@050317 1st cut" xfId="1331"/>
    <cellStyle name="g_8650-ER_Greater Chn Outlook Sum@16th June'03_Greater China 2005 budget vs actual  and 2006 budget@050317 1st cut---CC" xfId="1332"/>
    <cellStyle name="g_8650-ER_Greater Chn Outlook Sum@16th June'03_Greater China 2006 budget@020304 " xfId="1333"/>
    <cellStyle name="g_8650-ER_Greater Chn Outlook Sum@16th June'03_Greater China New business by Sales Manager@ 15th April'04" xfId="1334"/>
    <cellStyle name="g_8650-ER_Greater Chn Outlook Sum@16th June'03_Greater China New business by Sales Manager@ 15th April'04_AMD pricing version 2" xfId="1335"/>
    <cellStyle name="g_8650-ER_Greater Chn Outlook Sum@16th June'03_Greater China New business by Sales Manager@ 15th April'04_CAPEX FY2006_KS_0111" xfId="1336"/>
    <cellStyle name="g_8650-ER_Greater Chn Outlook Sum@16th June'03_Greater China Oct QBR_Oct Actual@7 Nov 2003" xfId="1337"/>
    <cellStyle name="g_8650-ER_Greater Chn Outlook Sum@16th June'03_Greater China Oct QBR_Oct Actual@7 Nov 2003_AMD pricing version 2" xfId="1338"/>
    <cellStyle name="g_8650-ER_Greater Chn Outlook Sum@16th June'03_Greater China Oct QBR_Oct Actual@7 Nov 2003_CAPEX FY2006_KS_0111" xfId="1339"/>
    <cellStyle name="g_8650-ER_Greater Chn Outlook Sum@16th June'03_Greater China Outlook 2004 forecast by week @ 040210-97" xfId="1340"/>
    <cellStyle name="g_8650-ER_Greater Chn Outlook Sum@16th June'03_Greater China Outlook 2004 forecast by week @ 040210-97_AMD pricing version 2" xfId="1341"/>
    <cellStyle name="g_8650-ER_Greater Chn Outlook Sum@16th June'03_Greater China Outlook 2004 forecast by week @ 040210-97_CAPEX FY2006_KS_0111" xfId="1342"/>
    <cellStyle name="g_8650-ER_Greater Chn Outlook Sum@16th June'03_Greater China Outlook report @ 040616" xfId="1343"/>
    <cellStyle name="g_8650-ER_Greater Chn Outlook Sum@16th June'03_Greater China Outlook report @ 040616_AMD pricing version 2" xfId="1344"/>
    <cellStyle name="g_8650-ER_Greater Chn Outlook Sum@16th June'03_Greater China Outlook report @ 040616_CAPEX FY2006_KS_0111" xfId="1345"/>
    <cellStyle name="g_8650-ER_Greater Chn Outlook Sum@16th June'03_HP Projects sheet" xfId="1346"/>
    <cellStyle name="g_8650-ER_Greater Chn Outlook Sum@16th June'03_HTC Major Account analysie" xfId="1347"/>
    <cellStyle name="g_8650-ER_Greater Chn Outlook Sum@16th June'03_HTC Major Account analysie_AMD pricing version 2" xfId="1348"/>
    <cellStyle name="g_8650-ER_Greater Chn Outlook Sum@16th June'03_HTC Major Account analysie_CAPEX FY2006_KS_0111" xfId="1349"/>
    <cellStyle name="g_8650-ER_Greater Chn Outlook Sum@16th June'03_Instant Report - Asia AprQBR vs Budget by SC@ 9th April'04" xfId="1350"/>
    <cellStyle name="g_8650-ER_Greater Chn Outlook Sum@16th June'03_Instant Report - Asia AprQBR vs Budget by SC@ 9th April'04_AMD pricing version 2" xfId="1351"/>
    <cellStyle name="g_8650-ER_Greater Chn Outlook Sum@16th June'03_Instant Report - Asia AprQBR vs Budget by SC@ 9th April'04_CAPEX FY2006_KS_0111" xfId="1352"/>
    <cellStyle name="g_8650-ER_Greater Chn Outlook Sum@16th June'03_Kodak SH forecast in Volume to Steven" xfId="1353"/>
    <cellStyle name="g_8650-ER_Greater Chn Outlook Sum@16th June'03_Kodak SH forecast in Volume to Steven_AMD pricing version 2" xfId="1354"/>
    <cellStyle name="g_8650-ER_Greater Chn Outlook Sum@16th June'03_Kodak SH forecast in Volume to Steven_CAPEX FY2006_KS_0111" xfId="1355"/>
    <cellStyle name="g_8650-ER_Greater Chn Outlook Sum@16th June'03_leslie_compal" xfId="1356"/>
    <cellStyle name="g_8650-ER_Greater Chn Outlook Sum@16th June'03_leslie_compal_AMD pricing version 2" xfId="1357"/>
    <cellStyle name="g_8650-ER_Greater Chn Outlook Sum@16th June'03_leslie_compal_CAPEX FY2006_KS_0111" xfId="1358"/>
    <cellStyle name="g_8650-ER_Greater Chn Outlook Sum@16th June'03_Sales QbyQ Rev Var Analysis-1" xfId="1359"/>
    <cellStyle name="g_8650-ER_Greater Chn Outlook Sum@16th June'03_Sales QbyQ Rev Var Analysis-1_AMD pricing version 2" xfId="1360"/>
    <cellStyle name="g_8650-ER_Greater Chn Outlook Sum@16th June'03_Sales QbyQ Rev Var Analysis-1_CAPEX FY2006_KS_0111" xfId="1361"/>
    <cellStyle name="g_8650-ER_Greater Chn Outlook Sum@16th June'03_South China Budget 2006 Sales and VAR" xfId="1362"/>
    <cellStyle name="g_8650-ER_Greater Chn Outlook Sum@16th June'03_South China Outlook 2004 @ 040109" xfId="1363"/>
    <cellStyle name="g_8650-ER_Greater Chn Outlook Sum@16th June'03_South China Outlook 2004 @ 040109_AMD pricing version 2" xfId="1364"/>
    <cellStyle name="g_8650-ER_Greater Chn Outlook Sum@16th June'03_South China Outlook 2004 @ 040109_CAPEX FY2006_KS_0111" xfId="1365"/>
    <cellStyle name="g_8650-ER_Greater Chn Outlook Sum@16th June'03_updated-- Greater China 2005 budget draft@040805" xfId="1366"/>
    <cellStyle name="g_8650-ER_Greater Chn Outlook Sum@16th June'03_updated-- Greater China 2005 budget draft@040805_AMD pricing version 2" xfId="1367"/>
    <cellStyle name="g_8650-ER_Greater Chn Outlook Sum@16th June'03_updated-- Greater China 2005 budget draft@040805_CAPEX FY2006_KS_0111" xfId="1368"/>
    <cellStyle name="g_8650-ER_Greater Chn Outlook Sum@16th June'03_复件 Instant Report - SZ-Asia AprQBR vs Budget by SC" xfId="1369"/>
    <cellStyle name="g_8650-ER_Greater Chn Outlook Sum@16th June'03_复件 Instant Report - SZ-Asia AprQBR vs Budget by SC_AMD pricing version 2" xfId="1370"/>
    <cellStyle name="g_8650-ER_Greater Chn Outlook Sum@16th June'03_复件 Instant Report - SZ-Asia AprQBR vs Budget by SC_CAPEX FY2006_KS_0111" xfId="1371"/>
    <cellStyle name="g_8650-ER_HP Projects sheet" xfId="1372"/>
    <cellStyle name="g_8650-ER_HTC Major Account analysie" xfId="1373"/>
    <cellStyle name="g_8650-ER_HTC Major Account analysie_AMD pricing version 2" xfId="1374"/>
    <cellStyle name="g_8650-ER_HTC Major Account analysie_CAPEX FY2006_KS_0111" xfId="1375"/>
    <cellStyle name="g_8650-ER_Instant Report - Asia AprQBR vs Budget by SC@ 9th April'04" xfId="1376"/>
    <cellStyle name="g_8650-ER_Instant Report - Asia AprQBR vs Budget by SC@ 9th April'04_AMD pricing version 2" xfId="1377"/>
    <cellStyle name="g_8650-ER_Instant Report - Asia AprQBR vs Budget by SC@ 9th April'04_CAPEX FY2006_KS_0111" xfId="1378"/>
    <cellStyle name="g_8650-ER_Kodak SH forecast in Volume to Steven" xfId="1379"/>
    <cellStyle name="g_8650-ER_Kodak SH forecast in Volume to Steven_AMD pricing version 2" xfId="1380"/>
    <cellStyle name="g_8650-ER_Kodak SH forecast in Volume to Steven_CAPEX FY2006_KS_0111" xfId="1381"/>
    <cellStyle name="g_8650-ER_leslie_compal" xfId="1382"/>
    <cellStyle name="g_8650-ER_leslie_compal_AMD pricing version 2" xfId="1383"/>
    <cellStyle name="g_8650-ER_leslie_compal_CAPEX FY2006_KS_0111" xfId="1384"/>
    <cellStyle name="g_8650-ER_Sales QbyQ Rev Var Analysis-1" xfId="1385"/>
    <cellStyle name="g_8650-ER_Sales QbyQ Rev Var Analysis-1_AMD pricing version 2" xfId="1386"/>
    <cellStyle name="g_8650-ER_Sales QbyQ Rev Var Analysis-1_CAPEX FY2006_KS_0111" xfId="1387"/>
    <cellStyle name="g_8650-ER_South China Budget 2006 Sales and VAR" xfId="1388"/>
    <cellStyle name="g_8650-ER_South China Outlook 2004 @ 040109" xfId="1389"/>
    <cellStyle name="g_8650-ER_South China Outlook 2004 @ 040109_AMD pricing version 2" xfId="1390"/>
    <cellStyle name="g_8650-ER_South China Outlook 2004 @ 040109_CAPEX FY2006_KS_0111" xfId="1391"/>
    <cellStyle name="g_8650-ER_updated-- Greater China 2005 budget draft@040805" xfId="1392"/>
    <cellStyle name="g_8650-ER_updated-- Greater China 2005 budget draft@040805_AMD pricing version 2" xfId="1393"/>
    <cellStyle name="g_8650-ER_updated-- Greater China 2005 budget draft@040805_CAPEX FY2006_KS_0111" xfId="1394"/>
    <cellStyle name="g_8650-ER_复件 Instant Report - SZ-Asia AprQBR vs Budget by SC" xfId="1395"/>
    <cellStyle name="g_8650-ER_复件 Instant Report - SZ-Asia AprQBR vs Budget by SC_AMD pricing version 2" xfId="1396"/>
    <cellStyle name="g_8650-ER_复件 Instant Report - SZ-Asia AprQBR vs Budget by SC_CAPEX FY2006_KS_0111" xfId="1397"/>
    <cellStyle name="g_AMD pricing version 2" xfId="1398"/>
    <cellStyle name="g_April QBR Greater China Outlook 2004 @ 040302" xfId="1399"/>
    <cellStyle name="g_April QBR Greater China Outlook 2004 @ 040302_AMD pricing version 2" xfId="1400"/>
    <cellStyle name="g_April QBR Greater China Outlook 2004 @ 040302_CAPEX FY2006_KS_0111" xfId="1401"/>
    <cellStyle name="g_April QBR Greater China Outlook 2004 @ 040317" xfId="1402"/>
    <cellStyle name="g_April QBR Greater China Outlook 2004 @ 040317_AMD pricing version 2" xfId="1403"/>
    <cellStyle name="g_April QBR Greater China Outlook 2004 @ 040317_CAPEX FY2006_KS_0111" xfId="1404"/>
    <cellStyle name="g_April QBR Slides--SZ@25th Mar'03" xfId="1405"/>
    <cellStyle name="g_April QBR Slides--SZ@25th Mar'03_AMD pricing version 2" xfId="1406"/>
    <cellStyle name="g_April QBR Slides--SZ@25th Mar'03_April QBR Greater China Outlook 2004 @ 040302" xfId="1407"/>
    <cellStyle name="g_April QBR Slides--SZ@25th Mar'03_April QBR Greater China Outlook 2004 @ 040302_AMD pricing version 2" xfId="1408"/>
    <cellStyle name="g_April QBR Slides--SZ@25th Mar'03_April QBR Greater China Outlook 2004 @ 040302_CAPEX FY2006_KS_0111" xfId="1409"/>
    <cellStyle name="g_April QBR Slides--SZ@25th Mar'03_April QBR Greater China Outlook 2004 @ 040317" xfId="1410"/>
    <cellStyle name="g_April QBR Slides--SZ@25th Mar'03_April QBR Greater China Outlook 2004 @ 040317_AMD pricing version 2" xfId="1411"/>
    <cellStyle name="g_April QBR Slides--SZ@25th Mar'03_April QBR Greater China Outlook 2004 @ 040317_CAPEX FY2006_KS_0111" xfId="1412"/>
    <cellStyle name="g_April QBR Slides--SZ@25th Mar'03_Asia Actuals 200405 vs Budget 200405 by SC" xfId="1413"/>
    <cellStyle name="g_April QBR Slides--SZ@25th Mar'03_Asia APRQBR 1st Pass-2" xfId="1414"/>
    <cellStyle name="g_April QBR Slides--SZ@25th Mar'03_Asia APRQBR 1st Pass-2_AMD pricing version 2" xfId="1415"/>
    <cellStyle name="g_April QBR Slides--SZ@25th Mar'03_Asia APRQBR 1st Pass-2_CAPEX FY2006_KS_0111" xfId="1416"/>
    <cellStyle name="g_April QBR Slides--SZ@25th Mar'03_Asia APRQBR 1st Pass-3" xfId="1417"/>
    <cellStyle name="g_April QBR Slides--SZ@25th Mar'03_Asia APRQBR 1st Pass-3_AMD pricing version 2" xfId="1418"/>
    <cellStyle name="g_April QBR Slides--SZ@25th Mar'03_Asia APRQBR 1st Pass-3_CAPEX FY2006_KS_0111" xfId="1419"/>
    <cellStyle name="g_April QBR Slides--SZ@25th Mar'03_Asia Budget 2005 vs AprQBR by SC" xfId="1420"/>
    <cellStyle name="g_April QBR Slides--SZ@25th Mar'03_Asia Budget 2005 vs AprQBR by SC_AMD pricing version 2" xfId="1421"/>
    <cellStyle name="g_April QBR Slides--SZ@25th Mar'03_Asia Budget 2005 vs AprQBR by SC_CAPEX FY2006_KS_0111" xfId="1422"/>
    <cellStyle name="g_April QBR Slides--SZ@25th Mar'03_Asia Budget 2005 vs Prioryr by SC" xfId="1423"/>
    <cellStyle name="g_April QBR Slides--SZ@25th Mar'03_Book1" xfId="1424"/>
    <cellStyle name="g_April QBR Slides--SZ@25th Mar'03_Budget 2005" xfId="1425"/>
    <cellStyle name="g_April QBR Slides--SZ@25th Mar'03_Budget 2005_AMD pricing version 2" xfId="1426"/>
    <cellStyle name="g_April QBR Slides--SZ@25th Mar'03_Budget 2005_CAPEX FY2006_KS_0111" xfId="1427"/>
    <cellStyle name="g_April QBR Slides--SZ@25th Mar'03_CAPEX FY2006_KS_0111" xfId="1428"/>
    <cellStyle name="g_April QBR Slides--SZ@25th Mar'03_Copy of April QBR Greater China Outlook 2004 @ 040302" xfId="1429"/>
    <cellStyle name="g_April QBR Slides--SZ@25th Mar'03_Copy of April QBR Greater China Outlook 2004 @ 040302_AMD pricing version 2" xfId="1430"/>
    <cellStyle name="g_April QBR Slides--SZ@25th Mar'03_Copy of April QBR Greater China Outlook 2004 @ 040302_CAPEX FY2006_KS_0111" xfId="1431"/>
    <cellStyle name="g_April QBR Slides--SZ@25th Mar'03_Fina April QBR Greater China Outlook report @ 040416" xfId="1432"/>
    <cellStyle name="g_April QBR Slides--SZ@25th Mar'03_Fina April QBR Greater China Outlook report @ 040416_AMD pricing version 2" xfId="1433"/>
    <cellStyle name="g_April QBR Slides--SZ@25th Mar'03_Fina April QBR Greater China Outlook report @ 040416_CAPEX FY2006_KS_0111" xfId="1434"/>
    <cellStyle name="g_April QBR Slides--SZ@25th Mar'03_Greater China 2004  budget@24th Nov'03" xfId="1435"/>
    <cellStyle name="g_April QBR Slides--SZ@25th Mar'03_Greater China 2004  budget@24th Nov'03(1)" xfId="1436"/>
    <cellStyle name="g_April QBR Slides--SZ@25th Mar'03_Greater China 2004  budget@24th Nov'03(1)_AMD pricing version 2" xfId="1437"/>
    <cellStyle name="g_April QBR Slides--SZ@25th Mar'03_Greater China 2004  budget@24th Nov'03(1)_CAPEX FY2006_KS_0111" xfId="1438"/>
    <cellStyle name="g_April QBR Slides--SZ@25th Mar'03_Greater China 2004  budget@24th Nov'03_AMD pricing version 2" xfId="1439"/>
    <cellStyle name="g_April QBR Slides--SZ@25th Mar'03_Greater China 2004  budget@24th Nov'03_CAPEX FY2006_KS_0111" xfId="1440"/>
    <cellStyle name="g_April QBR Slides--SZ@25th Mar'03_Greater China 2004  budget@3rd Nov'03" xfId="1441"/>
    <cellStyle name="g_April QBR Slides--SZ@25th Mar'03_Greater China 2004  budget@3rd Nov'03_AMD pricing version 2" xfId="1442"/>
    <cellStyle name="g_April QBR Slides--SZ@25th Mar'03_Greater China 2004  budget@3rd Nov'03_CAPEX FY2006_KS_0111" xfId="1443"/>
    <cellStyle name="g_April QBR Slides--SZ@25th Mar'03_Greater China 2005 bud vs actual  and 2006 budget@050316David updated Japan accounts" xfId="1444"/>
    <cellStyle name="g_April QBR Slides--SZ@25th Mar'03_Greater China 2005 budget after Final version @040901" xfId="1445"/>
    <cellStyle name="g_April QBR Slides--SZ@25th Mar'03_Greater China 2005 budget draft@040806" xfId="1446"/>
    <cellStyle name="g_April QBR Slides--SZ@25th Mar'03_Greater China 2005 budget draft@040806_AMD pricing version 2" xfId="1447"/>
    <cellStyle name="g_April QBR Slides--SZ@25th Mar'03_Greater China 2005 budget draft@040806_CAPEX FY2006_KS_0111" xfId="1448"/>
    <cellStyle name="g_April QBR Slides--SZ@25th Mar'03_Greater China 2005 budget NC adjusted after Final @040831" xfId="1449"/>
    <cellStyle name="g_April QBR Slides--SZ@25th Mar'03_Greater China 2005 budget vs actual  @041026" xfId="1450"/>
    <cellStyle name="g_April QBR Slides--SZ@25th Mar'03_Greater China 2005 budget vs actual  and 2006 budget@050317 1st cut" xfId="1451"/>
    <cellStyle name="g_April QBR Slides--SZ@25th Mar'03_Greater China 2005 budget vs actual  and 2006 budget@050317 1st cut---CC" xfId="1452"/>
    <cellStyle name="g_April QBR Slides--SZ@25th Mar'03_Greater China 2006 budget@020304 " xfId="1453"/>
    <cellStyle name="g_April QBR Slides--SZ@25th Mar'03_Greater China New business by Sales Manager@ 15th April'04" xfId="1454"/>
    <cellStyle name="g_April QBR Slides--SZ@25th Mar'03_Greater China New business by Sales Manager@ 15th April'04_AMD pricing version 2" xfId="1455"/>
    <cellStyle name="g_April QBR Slides--SZ@25th Mar'03_Greater China New business by Sales Manager@ 15th April'04_CAPEX FY2006_KS_0111" xfId="1456"/>
    <cellStyle name="g_April QBR Slides--SZ@25th Mar'03_Greater China Oct QBR_Oct Actual@7 Nov 2003" xfId="1457"/>
    <cellStyle name="g_April QBR Slides--SZ@25th Mar'03_Greater China Oct QBR_Oct Actual@7 Nov 2003_AMD pricing version 2" xfId="1458"/>
    <cellStyle name="g_April QBR Slides--SZ@25th Mar'03_Greater China Oct QBR_Oct Actual@7 Nov 2003_CAPEX FY2006_KS_0111" xfId="1459"/>
    <cellStyle name="g_April QBR Slides--SZ@25th Mar'03_Greater China Outlook 2004 forecast by week @ 040210-97" xfId="1460"/>
    <cellStyle name="g_April QBR Slides--SZ@25th Mar'03_Greater China Outlook 2004 forecast by week @ 040210-97_AMD pricing version 2" xfId="1461"/>
    <cellStyle name="g_April QBR Slides--SZ@25th Mar'03_Greater China Outlook 2004 forecast by week @ 040210-97_CAPEX FY2006_KS_0111" xfId="1462"/>
    <cellStyle name="g_April QBR Slides--SZ@25th Mar'03_Greater China Outlook report @ 040616" xfId="1463"/>
    <cellStyle name="g_April QBR Slides--SZ@25th Mar'03_Greater China Outlook report @ 040616_AMD pricing version 2" xfId="1464"/>
    <cellStyle name="g_April QBR Slides--SZ@25th Mar'03_Greater China Outlook report @ 040616_CAPEX FY2006_KS_0111" xfId="1465"/>
    <cellStyle name="g_April QBR Slides--SZ@25th Mar'03_Greater Chn Outlook Sum@16th June'03" xfId="1466"/>
    <cellStyle name="g_April QBR Slides--SZ@25th Mar'03_Greater Chn Outlook Sum@16th June'03_AMD pricing version 2" xfId="1467"/>
    <cellStyle name="g_April QBR Slides--SZ@25th Mar'03_Greater Chn Outlook Sum@16th June'03_April QBR Greater China Outlook 2004 @ 040302" xfId="1468"/>
    <cellStyle name="g_April QBR Slides--SZ@25th Mar'03_Greater Chn Outlook Sum@16th June'03_April QBR Greater China Outlook 2004 @ 040302_AMD pricing version 2" xfId="1469"/>
    <cellStyle name="g_April QBR Slides--SZ@25th Mar'03_Greater Chn Outlook Sum@16th June'03_April QBR Greater China Outlook 2004 @ 040302_CAPEX FY2006_KS_0111" xfId="1470"/>
    <cellStyle name="g_April QBR Slides--SZ@25th Mar'03_Greater Chn Outlook Sum@16th June'03_April QBR Greater China Outlook 2004 @ 040317" xfId="1471"/>
    <cellStyle name="g_April QBR Slides--SZ@25th Mar'03_Greater Chn Outlook Sum@16th June'03_April QBR Greater China Outlook 2004 @ 040317_AMD pricing version 2" xfId="1472"/>
    <cellStyle name="g_April QBR Slides--SZ@25th Mar'03_Greater Chn Outlook Sum@16th June'03_April QBR Greater China Outlook 2004 @ 040317_CAPEX FY2006_KS_0111" xfId="1473"/>
    <cellStyle name="g_April QBR Slides--SZ@25th Mar'03_Greater Chn Outlook Sum@16th June'03_Asia Actuals 200405 vs Budget 200405 by SC" xfId="1474"/>
    <cellStyle name="g_April QBR Slides--SZ@25th Mar'03_Greater Chn Outlook Sum@16th June'03_Asia APRQBR 1st Pass-2" xfId="1475"/>
    <cellStyle name="g_April QBR Slides--SZ@25th Mar'03_Greater Chn Outlook Sum@16th June'03_Asia APRQBR 1st Pass-2_AMD pricing version 2" xfId="1476"/>
    <cellStyle name="g_April QBR Slides--SZ@25th Mar'03_Greater Chn Outlook Sum@16th June'03_Asia APRQBR 1st Pass-2_CAPEX FY2006_KS_0111" xfId="1477"/>
    <cellStyle name="g_April QBR Slides--SZ@25th Mar'03_Greater Chn Outlook Sum@16th June'03_Asia APRQBR 1st Pass-3" xfId="1478"/>
    <cellStyle name="g_April QBR Slides--SZ@25th Mar'03_Greater Chn Outlook Sum@16th June'03_Asia APRQBR 1st Pass-3_AMD pricing version 2" xfId="1479"/>
    <cellStyle name="g_April QBR Slides--SZ@25th Mar'03_Greater Chn Outlook Sum@16th June'03_Asia APRQBR 1st Pass-3_CAPEX FY2006_KS_0111" xfId="1480"/>
    <cellStyle name="g_April QBR Slides--SZ@25th Mar'03_Greater Chn Outlook Sum@16th June'03_Asia Budget 2005 vs AprQBR by SC" xfId="1481"/>
    <cellStyle name="g_April QBR Slides--SZ@25th Mar'03_Greater Chn Outlook Sum@16th June'03_Asia Budget 2005 vs AprQBR by SC_AMD pricing version 2" xfId="1482"/>
    <cellStyle name="g_April QBR Slides--SZ@25th Mar'03_Greater Chn Outlook Sum@16th June'03_Asia Budget 2005 vs AprQBR by SC_CAPEX FY2006_KS_0111" xfId="1483"/>
    <cellStyle name="g_April QBR Slides--SZ@25th Mar'03_Greater Chn Outlook Sum@16th June'03_Asia Budget 2005 vs Prioryr by SC" xfId="1484"/>
    <cellStyle name="g_April QBR Slides--SZ@25th Mar'03_Greater Chn Outlook Sum@16th June'03_Book1" xfId="1485"/>
    <cellStyle name="g_April QBR Slides--SZ@25th Mar'03_Greater Chn Outlook Sum@16th June'03_Budget 2005" xfId="1486"/>
    <cellStyle name="g_April QBR Slides--SZ@25th Mar'03_Greater Chn Outlook Sum@16th June'03_Budget 2005_AMD pricing version 2" xfId="1487"/>
    <cellStyle name="g_April QBR Slides--SZ@25th Mar'03_Greater Chn Outlook Sum@16th June'03_Budget 2005_CAPEX FY2006_KS_0111" xfId="1488"/>
    <cellStyle name="g_April QBR Slides--SZ@25th Mar'03_Greater Chn Outlook Sum@16th June'03_CAPEX FY2006_KS_0111" xfId="1489"/>
    <cellStyle name="g_April QBR Slides--SZ@25th Mar'03_Greater Chn Outlook Sum@16th June'03_Copy of April QBR Greater China Outlook 2004 @ 040302" xfId="1490"/>
    <cellStyle name="g_April QBR Slides--SZ@25th Mar'03_Greater Chn Outlook Sum@16th June'03_Copy of April QBR Greater China Outlook 2004 @ 040302_AMD pricing version 2" xfId="1491"/>
    <cellStyle name="g_April QBR Slides--SZ@25th Mar'03_Greater Chn Outlook Sum@16th June'03_Copy of April QBR Greater China Outlook 2004 @ 040302_CAPEX FY2006_KS_0111" xfId="1492"/>
    <cellStyle name="g_April QBR Slides--SZ@25th Mar'03_Greater Chn Outlook Sum@16th June'03_Fina April QBR Greater China Outlook report @ 040416" xfId="1493"/>
    <cellStyle name="g_April QBR Slides--SZ@25th Mar'03_Greater Chn Outlook Sum@16th June'03_Fina April QBR Greater China Outlook report @ 040416_AMD pricing version 2" xfId="1494"/>
    <cellStyle name="g_April QBR Slides--SZ@25th Mar'03_Greater Chn Outlook Sum@16th June'03_Fina April QBR Greater China Outlook report @ 040416_CAPEX FY2006_KS_0111" xfId="1495"/>
    <cellStyle name="g_April QBR Slides--SZ@25th Mar'03_Greater Chn Outlook Sum@16th June'03_Greater China 2004  budget@24th Nov'03" xfId="1496"/>
    <cellStyle name="g_April QBR Slides--SZ@25th Mar'03_Greater Chn Outlook Sum@16th June'03_Greater China 2004  budget@24th Nov'03(1)" xfId="1497"/>
    <cellStyle name="g_April QBR Slides--SZ@25th Mar'03_Greater Chn Outlook Sum@16th June'03_Greater China 2004  budget@24th Nov'03(1)_AMD pricing version 2" xfId="1498"/>
    <cellStyle name="g_April QBR Slides--SZ@25th Mar'03_Greater Chn Outlook Sum@16th June'03_Greater China 2004  budget@24th Nov'03(1)_CAPEX FY2006_KS_0111" xfId="1499"/>
    <cellStyle name="g_April QBR Slides--SZ@25th Mar'03_Greater Chn Outlook Sum@16th June'03_Greater China 2004  budget@24th Nov'03_AMD pricing version 2" xfId="1500"/>
    <cellStyle name="g_April QBR Slides--SZ@25th Mar'03_Greater Chn Outlook Sum@16th June'03_Greater China 2004  budget@24th Nov'03_CAPEX FY2006_KS_0111" xfId="1501"/>
    <cellStyle name="g_April QBR Slides--SZ@25th Mar'03_Greater Chn Outlook Sum@16th June'03_Greater China 2004  budget@3rd Nov'03" xfId="1502"/>
    <cellStyle name="g_April QBR Slides--SZ@25th Mar'03_Greater Chn Outlook Sum@16th June'03_Greater China 2004  budget@3rd Nov'03_AMD pricing version 2" xfId="1503"/>
    <cellStyle name="g_April QBR Slides--SZ@25th Mar'03_Greater Chn Outlook Sum@16th June'03_Greater China 2004  budget@3rd Nov'03_CAPEX FY2006_KS_0111" xfId="1504"/>
    <cellStyle name="g_April QBR Slides--SZ@25th Mar'03_Greater Chn Outlook Sum@16th June'03_Greater China 2005 bud vs actual  and 2006 budget@050316David updated Japan accounts" xfId="1505"/>
    <cellStyle name="g_April QBR Slides--SZ@25th Mar'03_Greater Chn Outlook Sum@16th June'03_Greater China 2005 budget after Final version @040901" xfId="1506"/>
    <cellStyle name="g_April QBR Slides--SZ@25th Mar'03_Greater Chn Outlook Sum@16th June'03_Greater China 2005 budget draft@040806" xfId="1507"/>
    <cellStyle name="g_April QBR Slides--SZ@25th Mar'03_Greater Chn Outlook Sum@16th June'03_Greater China 2005 budget draft@040806_AMD pricing version 2" xfId="1508"/>
    <cellStyle name="g_April QBR Slides--SZ@25th Mar'03_Greater Chn Outlook Sum@16th June'03_Greater China 2005 budget draft@040806_CAPEX FY2006_KS_0111" xfId="1509"/>
    <cellStyle name="g_April QBR Slides--SZ@25th Mar'03_Greater Chn Outlook Sum@16th June'03_Greater China 2005 budget NC adjusted after Final @040831" xfId="1510"/>
    <cellStyle name="g_April QBR Slides--SZ@25th Mar'03_Greater Chn Outlook Sum@16th June'03_Greater China 2005 budget vs actual  @041026" xfId="1511"/>
    <cellStyle name="g_April QBR Slides--SZ@25th Mar'03_Greater Chn Outlook Sum@16th June'03_Greater China 2005 budget vs actual  and 2006 budget@050317 1st cut" xfId="1512"/>
    <cellStyle name="g_April QBR Slides--SZ@25th Mar'03_Greater Chn Outlook Sum@16th June'03_Greater China 2005 budget vs actual  and 2006 budget@050317 1st cut---CC" xfId="1513"/>
    <cellStyle name="g_April QBR Slides--SZ@25th Mar'03_Greater Chn Outlook Sum@16th June'03_Greater China 2006 budget@020304 " xfId="1514"/>
    <cellStyle name="g_April QBR Slides--SZ@25th Mar'03_Greater Chn Outlook Sum@16th June'03_Greater China New business by Sales Manager@ 15th April'04" xfId="1515"/>
    <cellStyle name="g_April QBR Slides--SZ@25th Mar'03_Greater Chn Outlook Sum@16th June'03_Greater China New business by Sales Manager@ 15th April'04_AMD pricing version 2" xfId="1516"/>
    <cellStyle name="g_April QBR Slides--SZ@25th Mar'03_Greater Chn Outlook Sum@16th June'03_Greater China New business by Sales Manager@ 15th April'04_CAPEX FY2006_KS_0111" xfId="1517"/>
    <cellStyle name="g_April QBR Slides--SZ@25th Mar'03_Greater Chn Outlook Sum@16th June'03_Greater China Oct QBR_Oct Actual@7 Nov 2003" xfId="1518"/>
    <cellStyle name="g_April QBR Slides--SZ@25th Mar'03_Greater Chn Outlook Sum@16th June'03_Greater China Oct QBR_Oct Actual@7 Nov 2003_AMD pricing version 2" xfId="1519"/>
    <cellStyle name="g_April QBR Slides--SZ@25th Mar'03_Greater Chn Outlook Sum@16th June'03_Greater China Oct QBR_Oct Actual@7 Nov 2003_CAPEX FY2006_KS_0111" xfId="1520"/>
    <cellStyle name="g_April QBR Slides--SZ@25th Mar'03_Greater Chn Outlook Sum@16th June'03_Greater China Outlook 2004 forecast by week @ 040210-97" xfId="1521"/>
    <cellStyle name="g_April QBR Slides--SZ@25th Mar'03_Greater Chn Outlook Sum@16th June'03_Greater China Outlook 2004 forecast by week @ 040210-97_AMD pricing version 2" xfId="1522"/>
    <cellStyle name="g_April QBR Slides--SZ@25th Mar'03_Greater Chn Outlook Sum@16th June'03_Greater China Outlook 2004 forecast by week @ 040210-97_CAPEX FY2006_KS_0111" xfId="1523"/>
    <cellStyle name="g_April QBR Slides--SZ@25th Mar'03_Greater Chn Outlook Sum@16th June'03_Greater China Outlook report @ 040616" xfId="1524"/>
    <cellStyle name="g_April QBR Slides--SZ@25th Mar'03_Greater Chn Outlook Sum@16th June'03_Greater China Outlook report @ 040616_AMD pricing version 2" xfId="1525"/>
    <cellStyle name="g_April QBR Slides--SZ@25th Mar'03_Greater Chn Outlook Sum@16th June'03_Greater China Outlook report @ 040616_CAPEX FY2006_KS_0111" xfId="1526"/>
    <cellStyle name="g_April QBR Slides--SZ@25th Mar'03_Greater Chn Outlook Sum@16th June'03_HP Projects sheet" xfId="1527"/>
    <cellStyle name="g_April QBR Slides--SZ@25th Mar'03_Greater Chn Outlook Sum@16th June'03_HTC Major Account analysie" xfId="1528"/>
    <cellStyle name="g_April QBR Slides--SZ@25th Mar'03_Greater Chn Outlook Sum@16th June'03_HTC Major Account analysie_AMD pricing version 2" xfId="1529"/>
    <cellStyle name="g_April QBR Slides--SZ@25th Mar'03_Greater Chn Outlook Sum@16th June'03_HTC Major Account analysie_CAPEX FY2006_KS_0111" xfId="1530"/>
    <cellStyle name="g_April QBR Slides--SZ@25th Mar'03_Greater Chn Outlook Sum@16th June'03_Instant Report - Asia AprQBR vs Budget by SC@ 9th April'04" xfId="1531"/>
    <cellStyle name="g_April QBR Slides--SZ@25th Mar'03_Greater Chn Outlook Sum@16th June'03_Instant Report - Asia AprQBR vs Budget by SC@ 9th April'04_AMD pricing version 2" xfId="1532"/>
    <cellStyle name="g_April QBR Slides--SZ@25th Mar'03_Greater Chn Outlook Sum@16th June'03_Instant Report - Asia AprQBR vs Budget by SC@ 9th April'04_CAPEX FY2006_KS_0111" xfId="1533"/>
    <cellStyle name="g_April QBR Slides--SZ@25th Mar'03_Greater Chn Outlook Sum@16th June'03_Kodak SH forecast in Volume to Steven" xfId="1534"/>
    <cellStyle name="g_April QBR Slides--SZ@25th Mar'03_Greater Chn Outlook Sum@16th June'03_Kodak SH forecast in Volume to Steven_AMD pricing version 2" xfId="1535"/>
    <cellStyle name="g_April QBR Slides--SZ@25th Mar'03_Greater Chn Outlook Sum@16th June'03_Kodak SH forecast in Volume to Steven_CAPEX FY2006_KS_0111" xfId="1536"/>
    <cellStyle name="g_April QBR Slides--SZ@25th Mar'03_Greater Chn Outlook Sum@16th June'03_leslie_compal" xfId="1537"/>
    <cellStyle name="g_April QBR Slides--SZ@25th Mar'03_Greater Chn Outlook Sum@16th June'03_leslie_compal_AMD pricing version 2" xfId="1538"/>
    <cellStyle name="g_April QBR Slides--SZ@25th Mar'03_Greater Chn Outlook Sum@16th June'03_leslie_compal_CAPEX FY2006_KS_0111" xfId="1539"/>
    <cellStyle name="g_April QBR Slides--SZ@25th Mar'03_Greater Chn Outlook Sum@16th June'03_Sales QbyQ Rev Var Analysis-1" xfId="1540"/>
    <cellStyle name="g_April QBR Slides--SZ@25th Mar'03_Greater Chn Outlook Sum@16th June'03_Sales QbyQ Rev Var Analysis-1_AMD pricing version 2" xfId="1541"/>
    <cellStyle name="g_April QBR Slides--SZ@25th Mar'03_Greater Chn Outlook Sum@16th June'03_Sales QbyQ Rev Var Analysis-1_CAPEX FY2006_KS_0111" xfId="1542"/>
    <cellStyle name="g_April QBR Slides--SZ@25th Mar'03_Greater Chn Outlook Sum@16th June'03_South China Budget 2006 Sales and VAR" xfId="1543"/>
    <cellStyle name="g_April QBR Slides--SZ@25th Mar'03_Greater Chn Outlook Sum@16th June'03_South China Outlook 2004 @ 040109" xfId="1544"/>
    <cellStyle name="g_April QBR Slides--SZ@25th Mar'03_Greater Chn Outlook Sum@16th June'03_South China Outlook 2004 @ 040109_AMD pricing version 2" xfId="1545"/>
    <cellStyle name="g_April QBR Slides--SZ@25th Mar'03_Greater Chn Outlook Sum@16th June'03_South China Outlook 2004 @ 040109_CAPEX FY2006_KS_0111" xfId="1546"/>
    <cellStyle name="g_April QBR Slides--SZ@25th Mar'03_Greater Chn Outlook Sum@16th June'03_updated-- Greater China 2005 budget draft@040805" xfId="1547"/>
    <cellStyle name="g_April QBR Slides--SZ@25th Mar'03_Greater Chn Outlook Sum@16th June'03_updated-- Greater China 2005 budget draft@040805_AMD pricing version 2" xfId="1548"/>
    <cellStyle name="g_April QBR Slides--SZ@25th Mar'03_Greater Chn Outlook Sum@16th June'03_updated-- Greater China 2005 budget draft@040805_CAPEX FY2006_KS_0111" xfId="1549"/>
    <cellStyle name="g_April QBR Slides--SZ@25th Mar'03_Greater Chn Outlook Sum@16th June'03_复件 Instant Report - SZ-Asia AprQBR vs Budget by SC" xfId="1550"/>
    <cellStyle name="g_April QBR Slides--SZ@25th Mar'03_Greater Chn Outlook Sum@16th June'03_复件 Instant Report - SZ-Asia AprQBR vs Budget by SC_AMD pricing version 2" xfId="1551"/>
    <cellStyle name="g_April QBR Slides--SZ@25th Mar'03_Greater Chn Outlook Sum@16th June'03_复件 Instant Report - SZ-Asia AprQBR vs Budget by SC_CAPEX FY2006_KS_0111" xfId="1552"/>
    <cellStyle name="g_April QBR Slides--SZ@25th Mar'03_HP Projects sheet" xfId="1553"/>
    <cellStyle name="g_April QBR Slides--SZ@25th Mar'03_HTC Major Account analysie" xfId="1554"/>
    <cellStyle name="g_April QBR Slides--SZ@25th Mar'03_HTC Major Account analysie_AMD pricing version 2" xfId="1555"/>
    <cellStyle name="g_April QBR Slides--SZ@25th Mar'03_HTC Major Account analysie_CAPEX FY2006_KS_0111" xfId="1556"/>
    <cellStyle name="g_April QBR Slides--SZ@25th Mar'03_Instant Report - Asia AprQBR vs Budget by SC@ 9th April'04" xfId="1557"/>
    <cellStyle name="g_April QBR Slides--SZ@25th Mar'03_Instant Report - Asia AprQBR vs Budget by SC@ 9th April'04_AMD pricing version 2" xfId="1558"/>
    <cellStyle name="g_April QBR Slides--SZ@25th Mar'03_Instant Report - Asia AprQBR vs Budget by SC@ 9th April'04_CAPEX FY2006_KS_0111" xfId="1559"/>
    <cellStyle name="g_April QBR Slides--SZ@25th Mar'03_Kodak SH forecast in Volume to Steven" xfId="1560"/>
    <cellStyle name="g_April QBR Slides--SZ@25th Mar'03_Kodak SH forecast in Volume to Steven_AMD pricing version 2" xfId="1561"/>
    <cellStyle name="g_April QBR Slides--SZ@25th Mar'03_Kodak SH forecast in Volume to Steven_CAPEX FY2006_KS_0111" xfId="1562"/>
    <cellStyle name="g_April QBR Slides--SZ@25th Mar'03_leslie_compal" xfId="1563"/>
    <cellStyle name="g_April QBR Slides--SZ@25th Mar'03_leslie_compal_AMD pricing version 2" xfId="1564"/>
    <cellStyle name="g_April QBR Slides--SZ@25th Mar'03_leslie_compal_CAPEX FY2006_KS_0111" xfId="1565"/>
    <cellStyle name="g_April QBR Slides--SZ@25th Mar'03_Sales QbyQ Rev Var Analysis-1" xfId="1566"/>
    <cellStyle name="g_April QBR Slides--SZ@25th Mar'03_Sales QbyQ Rev Var Analysis-1_AMD pricing version 2" xfId="1567"/>
    <cellStyle name="g_April QBR Slides--SZ@25th Mar'03_Sales QbyQ Rev Var Analysis-1_CAPEX FY2006_KS_0111" xfId="1568"/>
    <cellStyle name="g_April QBR Slides--SZ@25th Mar'03_South China Budget 2006 Sales and VAR" xfId="1569"/>
    <cellStyle name="g_April QBR Slides--SZ@25th Mar'03_South China Outlook 2004 @ 040109" xfId="1570"/>
    <cellStyle name="g_April QBR Slides--SZ@25th Mar'03_South China Outlook 2004 @ 040109_AMD pricing version 2" xfId="1571"/>
    <cellStyle name="g_April QBR Slides--SZ@25th Mar'03_South China Outlook 2004 @ 040109_CAPEX FY2006_KS_0111" xfId="1572"/>
    <cellStyle name="g_April QBR Slides--SZ@25th Mar'03_updated-- Greater China 2005 budget draft@040805" xfId="1573"/>
    <cellStyle name="g_April QBR Slides--SZ@25th Mar'03_updated-- Greater China 2005 budget draft@040805_AMD pricing version 2" xfId="1574"/>
    <cellStyle name="g_April QBR Slides--SZ@25th Mar'03_updated-- Greater China 2005 budget draft@040805_CAPEX FY2006_KS_0111" xfId="1575"/>
    <cellStyle name="g_April QBR Slides--SZ@25th Mar'03_复件 Instant Report - SZ-Asia AprQBR vs Budget by SC" xfId="1576"/>
    <cellStyle name="g_April QBR Slides--SZ@25th Mar'03_复件 Instant Report - SZ-Asia AprQBR vs Budget by SC_AMD pricing version 2" xfId="1577"/>
    <cellStyle name="g_April QBR Slides--SZ@25th Mar'03_复件 Instant Report - SZ-Asia AprQBR vs Budget by SC_CAPEX FY2006_KS_0111" xfId="1578"/>
    <cellStyle name="g_AprQBR deck v6-SZ250303" xfId="1579"/>
    <cellStyle name="g_AprQBR deck v6-SZ250303_AMD pricing version 2" xfId="1580"/>
    <cellStyle name="g_AprQBR deck v6-SZ250303_April QBR Greater China Outlook 2004 @ 040302" xfId="1581"/>
    <cellStyle name="g_AprQBR deck v6-SZ250303_April QBR Greater China Outlook 2004 @ 040302_AMD pricing version 2" xfId="1582"/>
    <cellStyle name="g_AprQBR deck v6-SZ250303_April QBR Greater China Outlook 2004 @ 040302_CAPEX FY2006_KS_0111" xfId="1583"/>
    <cellStyle name="g_AprQBR deck v6-SZ250303_April QBR Greater China Outlook 2004 @ 040317" xfId="1584"/>
    <cellStyle name="g_AprQBR deck v6-SZ250303_April QBR Greater China Outlook 2004 @ 040317_AMD pricing version 2" xfId="1585"/>
    <cellStyle name="g_AprQBR deck v6-SZ250303_April QBR Greater China Outlook 2004 @ 040317_CAPEX FY2006_KS_0111" xfId="1586"/>
    <cellStyle name="g_AprQBR deck v6-SZ250303_Asia Actuals 200405 vs Budget 200405 by SC" xfId="1587"/>
    <cellStyle name="g_AprQBR deck v6-SZ250303_Asia APRQBR 1st Pass-2" xfId="1588"/>
    <cellStyle name="g_AprQBR deck v6-SZ250303_Asia APRQBR 1st Pass-2_AMD pricing version 2" xfId="1589"/>
    <cellStyle name="g_AprQBR deck v6-SZ250303_Asia APRQBR 1st Pass-2_CAPEX FY2006_KS_0111" xfId="1590"/>
    <cellStyle name="g_AprQBR deck v6-SZ250303_Asia APRQBR 1st Pass-3" xfId="1591"/>
    <cellStyle name="g_AprQBR deck v6-SZ250303_Asia APRQBR 1st Pass-3_AMD pricing version 2" xfId="1592"/>
    <cellStyle name="g_AprQBR deck v6-SZ250303_Asia APRQBR 1st Pass-3_CAPEX FY2006_KS_0111" xfId="1593"/>
    <cellStyle name="g_AprQBR deck v6-SZ250303_Asia Budget 2005 vs AprQBR by SC" xfId="1594"/>
    <cellStyle name="g_AprQBR deck v6-SZ250303_Asia Budget 2005 vs AprQBR by SC_AMD pricing version 2" xfId="1595"/>
    <cellStyle name="g_AprQBR deck v6-SZ250303_Asia Budget 2005 vs AprQBR by SC_CAPEX FY2006_KS_0111" xfId="1596"/>
    <cellStyle name="g_AprQBR deck v6-SZ250303_Asia Budget 2005 vs Prioryr by SC" xfId="1597"/>
    <cellStyle name="g_AprQBR deck v6-SZ250303_Book1" xfId="1598"/>
    <cellStyle name="g_AprQBR deck v6-SZ250303_Budget 2005" xfId="1599"/>
    <cellStyle name="g_AprQBR deck v6-SZ250303_Budget 2005_AMD pricing version 2" xfId="1600"/>
    <cellStyle name="g_AprQBR deck v6-SZ250303_Budget 2005_CAPEX FY2006_KS_0111" xfId="1601"/>
    <cellStyle name="g_AprQBR deck v6-SZ250303_CAPEX FY2006_KS_0111" xfId="1602"/>
    <cellStyle name="g_AprQBR deck v6-SZ250303_Copy of April QBR Greater China Outlook 2004 @ 040302" xfId="1603"/>
    <cellStyle name="g_AprQBR deck v6-SZ250303_Copy of April QBR Greater China Outlook 2004 @ 040302_AMD pricing version 2" xfId="1604"/>
    <cellStyle name="g_AprQBR deck v6-SZ250303_Copy of April QBR Greater China Outlook 2004 @ 040302_CAPEX FY2006_KS_0111" xfId="1605"/>
    <cellStyle name="g_AprQBR deck v6-SZ250303_Fina April QBR Greater China Outlook report @ 040416" xfId="1606"/>
    <cellStyle name="g_AprQBR deck v6-SZ250303_Fina April QBR Greater China Outlook report @ 040416_AMD pricing version 2" xfId="1607"/>
    <cellStyle name="g_AprQBR deck v6-SZ250303_Fina April QBR Greater China Outlook report @ 040416_CAPEX FY2006_KS_0111" xfId="1608"/>
    <cellStyle name="g_AprQBR deck v6-SZ250303_Greater China 2004  budget@24th Nov'03" xfId="1609"/>
    <cellStyle name="g_AprQBR deck v6-SZ250303_Greater China 2004  budget@24th Nov'03(1)" xfId="1610"/>
    <cellStyle name="g_AprQBR deck v6-SZ250303_Greater China 2004  budget@24th Nov'03(1)_AMD pricing version 2" xfId="1611"/>
    <cellStyle name="g_AprQBR deck v6-SZ250303_Greater China 2004  budget@24th Nov'03(1)_CAPEX FY2006_KS_0111" xfId="1612"/>
    <cellStyle name="g_AprQBR deck v6-SZ250303_Greater China 2004  budget@24th Nov'03_AMD pricing version 2" xfId="1613"/>
    <cellStyle name="g_AprQBR deck v6-SZ250303_Greater China 2004  budget@24th Nov'03_CAPEX FY2006_KS_0111" xfId="1614"/>
    <cellStyle name="g_AprQBR deck v6-SZ250303_Greater China 2004  budget@3rd Nov'03" xfId="1615"/>
    <cellStyle name="g_AprQBR deck v6-SZ250303_Greater China 2004  budget@3rd Nov'03_AMD pricing version 2" xfId="1616"/>
    <cellStyle name="g_AprQBR deck v6-SZ250303_Greater China 2004  budget@3rd Nov'03_CAPEX FY2006_KS_0111" xfId="1617"/>
    <cellStyle name="g_AprQBR deck v6-SZ250303_Greater China 2005 bud vs actual  and 2006 budget@050316David updated Japan accounts" xfId="1618"/>
    <cellStyle name="g_AprQBR deck v6-SZ250303_Greater China 2005 budget after Final version @040901" xfId="1619"/>
    <cellStyle name="g_AprQBR deck v6-SZ250303_Greater China 2005 budget draft@040806" xfId="1620"/>
    <cellStyle name="g_AprQBR deck v6-SZ250303_Greater China 2005 budget draft@040806_AMD pricing version 2" xfId="1621"/>
    <cellStyle name="g_AprQBR deck v6-SZ250303_Greater China 2005 budget draft@040806_CAPEX FY2006_KS_0111" xfId="1622"/>
    <cellStyle name="g_AprQBR deck v6-SZ250303_Greater China 2005 budget NC adjusted after Final @040831" xfId="1623"/>
    <cellStyle name="g_AprQBR deck v6-SZ250303_Greater China 2005 budget vs actual  @041026" xfId="1624"/>
    <cellStyle name="g_AprQBR deck v6-SZ250303_Greater China 2005 budget vs actual  and 2006 budget@050317 1st cut" xfId="1625"/>
    <cellStyle name="g_AprQBR deck v6-SZ250303_Greater China 2005 budget vs actual  and 2006 budget@050317 1st cut---CC" xfId="1626"/>
    <cellStyle name="g_AprQBR deck v6-SZ250303_Greater China 2006 budget@020304 " xfId="1627"/>
    <cellStyle name="g_AprQBR deck v6-SZ250303_Greater China New business by Sales Manager@ 15th April'04" xfId="1628"/>
    <cellStyle name="g_AprQBR deck v6-SZ250303_Greater China New business by Sales Manager@ 15th April'04_AMD pricing version 2" xfId="1629"/>
    <cellStyle name="g_AprQBR deck v6-SZ250303_Greater China New business by Sales Manager@ 15th April'04_CAPEX FY2006_KS_0111" xfId="1630"/>
    <cellStyle name="g_AprQBR deck v6-SZ250303_Greater China Oct QBR_Oct Actual@7 Nov 2003" xfId="1631"/>
    <cellStyle name="g_AprQBR deck v6-SZ250303_Greater China Oct QBR_Oct Actual@7 Nov 2003_AMD pricing version 2" xfId="1632"/>
    <cellStyle name="g_AprQBR deck v6-SZ250303_Greater China Oct QBR_Oct Actual@7 Nov 2003_CAPEX FY2006_KS_0111" xfId="1633"/>
    <cellStyle name="g_AprQBR deck v6-SZ250303_Greater China Outlook 2004 forecast by week @ 040210-97" xfId="1634"/>
    <cellStyle name="g_AprQBR deck v6-SZ250303_Greater China Outlook 2004 forecast by week @ 040210-97_AMD pricing version 2" xfId="1635"/>
    <cellStyle name="g_AprQBR deck v6-SZ250303_Greater China Outlook 2004 forecast by week @ 040210-97_CAPEX FY2006_KS_0111" xfId="1636"/>
    <cellStyle name="g_AprQBR deck v6-SZ250303_Greater China Outlook report @ 040616" xfId="1637"/>
    <cellStyle name="g_AprQBR deck v6-SZ250303_Greater China Outlook report @ 040616_AMD pricing version 2" xfId="1638"/>
    <cellStyle name="g_AprQBR deck v6-SZ250303_Greater China Outlook report @ 040616_CAPEX FY2006_KS_0111" xfId="1639"/>
    <cellStyle name="g_AprQBR deck v6-SZ250303_Greater Chn Outlook Sum@16th June'03" xfId="1640"/>
    <cellStyle name="g_AprQBR deck v6-SZ250303_Greater Chn Outlook Sum@16th June'03_AMD pricing version 2" xfId="1641"/>
    <cellStyle name="g_AprQBR deck v6-SZ250303_Greater Chn Outlook Sum@16th June'03_April QBR Greater China Outlook 2004 @ 040302" xfId="1642"/>
    <cellStyle name="g_AprQBR deck v6-SZ250303_Greater Chn Outlook Sum@16th June'03_April QBR Greater China Outlook 2004 @ 040302_AMD pricing version 2" xfId="1643"/>
    <cellStyle name="g_AprQBR deck v6-SZ250303_Greater Chn Outlook Sum@16th June'03_April QBR Greater China Outlook 2004 @ 040302_CAPEX FY2006_KS_0111" xfId="1644"/>
    <cellStyle name="g_AprQBR deck v6-SZ250303_Greater Chn Outlook Sum@16th June'03_April QBR Greater China Outlook 2004 @ 040317" xfId="1645"/>
    <cellStyle name="g_AprQBR deck v6-SZ250303_Greater Chn Outlook Sum@16th June'03_April QBR Greater China Outlook 2004 @ 040317_AMD pricing version 2" xfId="1646"/>
    <cellStyle name="g_AprQBR deck v6-SZ250303_Greater Chn Outlook Sum@16th June'03_April QBR Greater China Outlook 2004 @ 040317_CAPEX FY2006_KS_0111" xfId="1647"/>
    <cellStyle name="g_AprQBR deck v6-SZ250303_Greater Chn Outlook Sum@16th June'03_Asia Actuals 200405 vs Budget 200405 by SC" xfId="1648"/>
    <cellStyle name="g_AprQBR deck v6-SZ250303_Greater Chn Outlook Sum@16th June'03_Asia APRQBR 1st Pass-2" xfId="1649"/>
    <cellStyle name="g_AprQBR deck v6-SZ250303_Greater Chn Outlook Sum@16th June'03_Asia APRQBR 1st Pass-2_AMD pricing version 2" xfId="1650"/>
    <cellStyle name="g_AprQBR deck v6-SZ250303_Greater Chn Outlook Sum@16th June'03_Asia APRQBR 1st Pass-2_CAPEX FY2006_KS_0111" xfId="1651"/>
    <cellStyle name="g_AprQBR deck v6-SZ250303_Greater Chn Outlook Sum@16th June'03_Asia APRQBR 1st Pass-3" xfId="1652"/>
    <cellStyle name="g_AprQBR deck v6-SZ250303_Greater Chn Outlook Sum@16th June'03_Asia APRQBR 1st Pass-3_AMD pricing version 2" xfId="1653"/>
    <cellStyle name="g_AprQBR deck v6-SZ250303_Greater Chn Outlook Sum@16th June'03_Asia APRQBR 1st Pass-3_CAPEX FY2006_KS_0111" xfId="1654"/>
    <cellStyle name="g_AprQBR deck v6-SZ250303_Greater Chn Outlook Sum@16th June'03_Asia Budget 2005 vs AprQBR by SC" xfId="1655"/>
    <cellStyle name="g_AprQBR deck v6-SZ250303_Greater Chn Outlook Sum@16th June'03_Asia Budget 2005 vs AprQBR by SC_AMD pricing version 2" xfId="1656"/>
    <cellStyle name="g_AprQBR deck v6-SZ250303_Greater Chn Outlook Sum@16th June'03_Asia Budget 2005 vs AprQBR by SC_CAPEX FY2006_KS_0111" xfId="1657"/>
    <cellStyle name="g_AprQBR deck v6-SZ250303_Greater Chn Outlook Sum@16th June'03_Asia Budget 2005 vs Prioryr by SC" xfId="1658"/>
    <cellStyle name="g_AprQBR deck v6-SZ250303_Greater Chn Outlook Sum@16th June'03_Book1" xfId="1659"/>
    <cellStyle name="g_AprQBR deck v6-SZ250303_Greater Chn Outlook Sum@16th June'03_Budget 2005" xfId="1660"/>
    <cellStyle name="g_AprQBR deck v6-SZ250303_Greater Chn Outlook Sum@16th June'03_Budget 2005_AMD pricing version 2" xfId="1661"/>
    <cellStyle name="g_AprQBR deck v6-SZ250303_Greater Chn Outlook Sum@16th June'03_Budget 2005_CAPEX FY2006_KS_0111" xfId="1662"/>
    <cellStyle name="g_AprQBR deck v6-SZ250303_Greater Chn Outlook Sum@16th June'03_CAPEX FY2006_KS_0111" xfId="1663"/>
    <cellStyle name="g_AprQBR deck v6-SZ250303_Greater Chn Outlook Sum@16th June'03_Copy of April QBR Greater China Outlook 2004 @ 040302" xfId="1664"/>
    <cellStyle name="g_AprQBR deck v6-SZ250303_Greater Chn Outlook Sum@16th June'03_Copy of April QBR Greater China Outlook 2004 @ 040302_AMD pricing version 2" xfId="1665"/>
    <cellStyle name="g_AprQBR deck v6-SZ250303_Greater Chn Outlook Sum@16th June'03_Copy of April QBR Greater China Outlook 2004 @ 040302_CAPEX FY2006_KS_0111" xfId="1666"/>
    <cellStyle name="g_AprQBR deck v6-SZ250303_Greater Chn Outlook Sum@16th June'03_Fina April QBR Greater China Outlook report @ 040416" xfId="1667"/>
    <cellStyle name="g_AprQBR deck v6-SZ250303_Greater Chn Outlook Sum@16th June'03_Fina April QBR Greater China Outlook report @ 040416_AMD pricing version 2" xfId="1668"/>
    <cellStyle name="g_AprQBR deck v6-SZ250303_Greater Chn Outlook Sum@16th June'03_Fina April QBR Greater China Outlook report @ 040416_CAPEX FY2006_KS_0111" xfId="1669"/>
    <cellStyle name="g_AprQBR deck v6-SZ250303_Greater Chn Outlook Sum@16th June'03_Greater China 2004  budget@24th Nov'03" xfId="1670"/>
    <cellStyle name="g_AprQBR deck v6-SZ250303_Greater Chn Outlook Sum@16th June'03_Greater China 2004  budget@24th Nov'03(1)" xfId="1671"/>
    <cellStyle name="g_AprQBR deck v6-SZ250303_Greater Chn Outlook Sum@16th June'03_Greater China 2004  budget@24th Nov'03(1)_AMD pricing version 2" xfId="1672"/>
    <cellStyle name="g_AprQBR deck v6-SZ250303_Greater Chn Outlook Sum@16th June'03_Greater China 2004  budget@24th Nov'03(1)_CAPEX FY2006_KS_0111" xfId="1673"/>
    <cellStyle name="g_AprQBR deck v6-SZ250303_Greater Chn Outlook Sum@16th June'03_Greater China 2004  budget@24th Nov'03_AMD pricing version 2" xfId="1674"/>
    <cellStyle name="g_AprQBR deck v6-SZ250303_Greater Chn Outlook Sum@16th June'03_Greater China 2004  budget@24th Nov'03_CAPEX FY2006_KS_0111" xfId="1675"/>
    <cellStyle name="g_AprQBR deck v6-SZ250303_Greater Chn Outlook Sum@16th June'03_Greater China 2004  budget@3rd Nov'03" xfId="1676"/>
    <cellStyle name="g_AprQBR deck v6-SZ250303_Greater Chn Outlook Sum@16th June'03_Greater China 2004  budget@3rd Nov'03_AMD pricing version 2" xfId="1677"/>
    <cellStyle name="g_AprQBR deck v6-SZ250303_Greater Chn Outlook Sum@16th June'03_Greater China 2004  budget@3rd Nov'03_CAPEX FY2006_KS_0111" xfId="1678"/>
    <cellStyle name="g_AprQBR deck v6-SZ250303_Greater Chn Outlook Sum@16th June'03_Greater China 2005 bud vs actual  and 2006 budget@050316David updated Japan accounts" xfId="1679"/>
    <cellStyle name="g_AprQBR deck v6-SZ250303_Greater Chn Outlook Sum@16th June'03_Greater China 2005 budget after Final version @040901" xfId="1680"/>
    <cellStyle name="g_AprQBR deck v6-SZ250303_Greater Chn Outlook Sum@16th June'03_Greater China 2005 budget draft@040806" xfId="1681"/>
    <cellStyle name="g_AprQBR deck v6-SZ250303_Greater Chn Outlook Sum@16th June'03_Greater China 2005 budget draft@040806_AMD pricing version 2" xfId="1682"/>
    <cellStyle name="g_AprQBR deck v6-SZ250303_Greater Chn Outlook Sum@16th June'03_Greater China 2005 budget draft@040806_CAPEX FY2006_KS_0111" xfId="1683"/>
    <cellStyle name="g_AprQBR deck v6-SZ250303_Greater Chn Outlook Sum@16th June'03_Greater China 2005 budget NC adjusted after Final @040831" xfId="1684"/>
    <cellStyle name="g_AprQBR deck v6-SZ250303_Greater Chn Outlook Sum@16th June'03_Greater China 2005 budget vs actual  @041026" xfId="1685"/>
    <cellStyle name="g_AprQBR deck v6-SZ250303_Greater Chn Outlook Sum@16th June'03_Greater China 2005 budget vs actual  and 2006 budget@050317 1st cut" xfId="1686"/>
    <cellStyle name="g_AprQBR deck v6-SZ250303_Greater Chn Outlook Sum@16th June'03_Greater China 2005 budget vs actual  and 2006 budget@050317 1st cut---CC" xfId="1687"/>
    <cellStyle name="g_AprQBR deck v6-SZ250303_Greater Chn Outlook Sum@16th June'03_Greater China 2006 budget@020304 " xfId="1688"/>
    <cellStyle name="g_AprQBR deck v6-SZ250303_Greater Chn Outlook Sum@16th June'03_Greater China New business by Sales Manager@ 15th April'04" xfId="1689"/>
    <cellStyle name="g_AprQBR deck v6-SZ250303_Greater Chn Outlook Sum@16th June'03_Greater China New business by Sales Manager@ 15th April'04_AMD pricing version 2" xfId="1690"/>
    <cellStyle name="g_AprQBR deck v6-SZ250303_Greater Chn Outlook Sum@16th June'03_Greater China New business by Sales Manager@ 15th April'04_CAPEX FY2006_KS_0111" xfId="1691"/>
    <cellStyle name="g_AprQBR deck v6-SZ250303_Greater Chn Outlook Sum@16th June'03_Greater China Oct QBR_Oct Actual@7 Nov 2003" xfId="1692"/>
    <cellStyle name="g_AprQBR deck v6-SZ250303_Greater Chn Outlook Sum@16th June'03_Greater China Oct QBR_Oct Actual@7 Nov 2003_AMD pricing version 2" xfId="1693"/>
    <cellStyle name="g_AprQBR deck v6-SZ250303_Greater Chn Outlook Sum@16th June'03_Greater China Oct QBR_Oct Actual@7 Nov 2003_CAPEX FY2006_KS_0111" xfId="1694"/>
    <cellStyle name="g_AprQBR deck v6-SZ250303_Greater Chn Outlook Sum@16th June'03_Greater China Outlook 2004 forecast by week @ 040210-97" xfId="1695"/>
    <cellStyle name="g_AprQBR deck v6-SZ250303_Greater Chn Outlook Sum@16th June'03_Greater China Outlook 2004 forecast by week @ 040210-97_AMD pricing version 2" xfId="1696"/>
    <cellStyle name="g_AprQBR deck v6-SZ250303_Greater Chn Outlook Sum@16th June'03_Greater China Outlook 2004 forecast by week @ 040210-97_CAPEX FY2006_KS_0111" xfId="1697"/>
    <cellStyle name="g_AprQBR deck v6-SZ250303_Greater Chn Outlook Sum@16th June'03_Greater China Outlook report @ 040616" xfId="1698"/>
    <cellStyle name="g_AprQBR deck v6-SZ250303_Greater Chn Outlook Sum@16th June'03_Greater China Outlook report @ 040616_AMD pricing version 2" xfId="1699"/>
    <cellStyle name="g_AprQBR deck v6-SZ250303_Greater Chn Outlook Sum@16th June'03_Greater China Outlook report @ 040616_CAPEX FY2006_KS_0111" xfId="1700"/>
    <cellStyle name="g_AprQBR deck v6-SZ250303_Greater Chn Outlook Sum@16th June'03_HP Projects sheet" xfId="1701"/>
    <cellStyle name="g_AprQBR deck v6-SZ250303_Greater Chn Outlook Sum@16th June'03_HTC Major Account analysie" xfId="1702"/>
    <cellStyle name="g_AprQBR deck v6-SZ250303_Greater Chn Outlook Sum@16th June'03_HTC Major Account analysie_AMD pricing version 2" xfId="1703"/>
    <cellStyle name="g_AprQBR deck v6-SZ250303_Greater Chn Outlook Sum@16th June'03_HTC Major Account analysie_CAPEX FY2006_KS_0111" xfId="1704"/>
    <cellStyle name="g_AprQBR deck v6-SZ250303_Greater Chn Outlook Sum@16th June'03_Instant Report - Asia AprQBR vs Budget by SC@ 9th April'04" xfId="1705"/>
    <cellStyle name="g_AprQBR deck v6-SZ250303_Greater Chn Outlook Sum@16th June'03_Instant Report - Asia AprQBR vs Budget by SC@ 9th April'04_AMD pricing version 2" xfId="1706"/>
    <cellStyle name="g_AprQBR deck v6-SZ250303_Greater Chn Outlook Sum@16th June'03_Instant Report - Asia AprQBR vs Budget by SC@ 9th April'04_CAPEX FY2006_KS_0111" xfId="1707"/>
    <cellStyle name="g_AprQBR deck v6-SZ250303_Greater Chn Outlook Sum@16th June'03_Kodak SH forecast in Volume to Steven" xfId="1708"/>
    <cellStyle name="g_AprQBR deck v6-SZ250303_Greater Chn Outlook Sum@16th June'03_Kodak SH forecast in Volume to Steven_AMD pricing version 2" xfId="1709"/>
    <cellStyle name="g_AprQBR deck v6-SZ250303_Greater Chn Outlook Sum@16th June'03_Kodak SH forecast in Volume to Steven_CAPEX FY2006_KS_0111" xfId="1710"/>
    <cellStyle name="g_AprQBR deck v6-SZ250303_Greater Chn Outlook Sum@16th June'03_leslie_compal" xfId="1711"/>
    <cellStyle name="g_AprQBR deck v6-SZ250303_Greater Chn Outlook Sum@16th June'03_leslie_compal_AMD pricing version 2" xfId="1712"/>
    <cellStyle name="g_AprQBR deck v6-SZ250303_Greater Chn Outlook Sum@16th June'03_leslie_compal_CAPEX FY2006_KS_0111" xfId="1713"/>
    <cellStyle name="g_AprQBR deck v6-SZ250303_Greater Chn Outlook Sum@16th June'03_Sales QbyQ Rev Var Analysis-1" xfId="1714"/>
    <cellStyle name="g_AprQBR deck v6-SZ250303_Greater Chn Outlook Sum@16th June'03_Sales QbyQ Rev Var Analysis-1_AMD pricing version 2" xfId="1715"/>
    <cellStyle name="g_AprQBR deck v6-SZ250303_Greater Chn Outlook Sum@16th June'03_Sales QbyQ Rev Var Analysis-1_CAPEX FY2006_KS_0111" xfId="1716"/>
    <cellStyle name="g_AprQBR deck v6-SZ250303_Greater Chn Outlook Sum@16th June'03_South China Budget 2006 Sales and VAR" xfId="1717"/>
    <cellStyle name="g_AprQBR deck v6-SZ250303_Greater Chn Outlook Sum@16th June'03_South China Outlook 2004 @ 040109" xfId="1718"/>
    <cellStyle name="g_AprQBR deck v6-SZ250303_Greater Chn Outlook Sum@16th June'03_South China Outlook 2004 @ 040109_AMD pricing version 2" xfId="1719"/>
    <cellStyle name="g_AprQBR deck v6-SZ250303_Greater Chn Outlook Sum@16th June'03_South China Outlook 2004 @ 040109_CAPEX FY2006_KS_0111" xfId="1720"/>
    <cellStyle name="g_AprQBR deck v6-SZ250303_Greater Chn Outlook Sum@16th June'03_updated-- Greater China 2005 budget draft@040805" xfId="1721"/>
    <cellStyle name="g_AprQBR deck v6-SZ250303_Greater Chn Outlook Sum@16th June'03_updated-- Greater China 2005 budget draft@040805_AMD pricing version 2" xfId="1722"/>
    <cellStyle name="g_AprQBR deck v6-SZ250303_Greater Chn Outlook Sum@16th June'03_updated-- Greater China 2005 budget draft@040805_CAPEX FY2006_KS_0111" xfId="1723"/>
    <cellStyle name="g_AprQBR deck v6-SZ250303_Greater Chn Outlook Sum@16th June'03_复件 Instant Report - SZ-Asia AprQBR vs Budget by SC" xfId="1724"/>
    <cellStyle name="g_AprQBR deck v6-SZ250303_Greater Chn Outlook Sum@16th June'03_复件 Instant Report - SZ-Asia AprQBR vs Budget by SC_AMD pricing version 2" xfId="1725"/>
    <cellStyle name="g_AprQBR deck v6-SZ250303_Greater Chn Outlook Sum@16th June'03_复件 Instant Report - SZ-Asia AprQBR vs Budget by SC_CAPEX FY2006_KS_0111" xfId="1726"/>
    <cellStyle name="g_AprQBR deck v6-SZ250303_HP Projects sheet" xfId="1727"/>
    <cellStyle name="g_AprQBR deck v6-SZ250303_HTC Major Account analysie" xfId="1728"/>
    <cellStyle name="g_AprQBR deck v6-SZ250303_HTC Major Account analysie_AMD pricing version 2" xfId="1729"/>
    <cellStyle name="g_AprQBR deck v6-SZ250303_HTC Major Account analysie_CAPEX FY2006_KS_0111" xfId="1730"/>
    <cellStyle name="g_AprQBR deck v6-SZ250303_Instant Report - Asia AprQBR vs Budget by SC@ 9th April'04" xfId="1731"/>
    <cellStyle name="g_AprQBR deck v6-SZ250303_Instant Report - Asia AprQBR vs Budget by SC@ 9th April'04_AMD pricing version 2" xfId="1732"/>
    <cellStyle name="g_AprQBR deck v6-SZ250303_Instant Report - Asia AprQBR vs Budget by SC@ 9th April'04_CAPEX FY2006_KS_0111" xfId="1733"/>
    <cellStyle name="g_AprQBR deck v6-SZ250303_Kodak SH forecast in Volume to Steven" xfId="1734"/>
    <cellStyle name="g_AprQBR deck v6-SZ250303_Kodak SH forecast in Volume to Steven_AMD pricing version 2" xfId="1735"/>
    <cellStyle name="g_AprQBR deck v6-SZ250303_Kodak SH forecast in Volume to Steven_CAPEX FY2006_KS_0111" xfId="1736"/>
    <cellStyle name="g_AprQBR deck v6-SZ250303_leslie_compal" xfId="1737"/>
    <cellStyle name="g_AprQBR deck v6-SZ250303_leslie_compal_AMD pricing version 2" xfId="1738"/>
    <cellStyle name="g_AprQBR deck v6-SZ250303_leslie_compal_CAPEX FY2006_KS_0111" xfId="1739"/>
    <cellStyle name="g_AprQBR deck v6-SZ250303_Sales QbyQ Rev Var Analysis-1" xfId="1740"/>
    <cellStyle name="g_AprQBR deck v6-SZ250303_Sales QbyQ Rev Var Analysis-1_AMD pricing version 2" xfId="1741"/>
    <cellStyle name="g_AprQBR deck v6-SZ250303_Sales QbyQ Rev Var Analysis-1_CAPEX FY2006_KS_0111" xfId="1742"/>
    <cellStyle name="g_AprQBR deck v6-SZ250303_South China Budget 2006 Sales and VAR" xfId="1743"/>
    <cellStyle name="g_AprQBR deck v6-SZ250303_South China Outlook 2004 @ 040109" xfId="1744"/>
    <cellStyle name="g_AprQBR deck v6-SZ250303_South China Outlook 2004 @ 040109_AMD pricing version 2" xfId="1745"/>
    <cellStyle name="g_AprQBR deck v6-SZ250303_South China Outlook 2004 @ 040109_CAPEX FY2006_KS_0111" xfId="1746"/>
    <cellStyle name="g_AprQBR deck v6-SZ250303_updated-- Greater China 2005 budget draft@040805" xfId="1747"/>
    <cellStyle name="g_AprQBR deck v6-SZ250303_updated-- Greater China 2005 budget draft@040805_AMD pricing version 2" xfId="1748"/>
    <cellStyle name="g_AprQBR deck v6-SZ250303_updated-- Greater China 2005 budget draft@040805_CAPEX FY2006_KS_0111" xfId="1749"/>
    <cellStyle name="g_AprQBR deck v6-SZ250303_复件 Instant Report - SZ-Asia AprQBR vs Budget by SC" xfId="1750"/>
    <cellStyle name="g_AprQBR deck v6-SZ250303_复件 Instant Report - SZ-Asia AprQBR vs Budget by SC_AMD pricing version 2" xfId="1751"/>
    <cellStyle name="g_AprQBR deck v6-SZ250303_复件 Instant Report - SZ-Asia AprQBR vs Budget by SC_CAPEX FY2006_KS_0111" xfId="1752"/>
    <cellStyle name="g_APRQBR slides @25th Mar2003" xfId="1753"/>
    <cellStyle name="g_APRQBR slides @25th Mar2003_AMD pricing version 2" xfId="1754"/>
    <cellStyle name="g_APRQBR slides @25th Mar2003_CAPEX FY2006_KS_0111" xfId="1755"/>
    <cellStyle name="g_AR aging - 03-2003" xfId="1756"/>
    <cellStyle name="g_AR aging - 03-2003_AMD pricing version 2" xfId="1757"/>
    <cellStyle name="g_AR aging - 03-2003_CAPEX FY2006_KS_0111" xfId="1758"/>
    <cellStyle name="g_Asia Actuals 200405 vs Budget 200405 by SC" xfId="1759"/>
    <cellStyle name="g_Asia APRQBR 1st Pass-2" xfId="1760"/>
    <cellStyle name="g_Asia APRQBR 1st Pass-2_AMD pricing version 2" xfId="1761"/>
    <cellStyle name="g_Asia APRQBR 1st Pass-2_CAPEX FY2006_KS_0111" xfId="1762"/>
    <cellStyle name="g_Asia APRQBR 1st Pass-3" xfId="1763"/>
    <cellStyle name="g_Asia APRQBR 1st Pass-3_AMD pricing version 2" xfId="1764"/>
    <cellStyle name="g_Asia APRQBR 1st Pass-3_CAPEX FY2006_KS_0111" xfId="1765"/>
    <cellStyle name="g_Asia Budget 06 vs 05 Rev VAR with Asia Based Clients" xfId="1766"/>
    <cellStyle name="g_Asia Budget 06 vs. Outlook 06" xfId="1767"/>
    <cellStyle name="g_Asia Budget 06 vs. Outlook 06_1" xfId="1768"/>
    <cellStyle name="g_Asia Budget 06 vs. Outlook 06_1_MSAR_HP_capex" xfId="1769"/>
    <cellStyle name="g_Asia Budget 07 vs. Outlook 06_9 May" xfId="1770"/>
    <cellStyle name="g_Asia Budget 2005 vs AprQBR by SC" xfId="1771"/>
    <cellStyle name="g_Asia Budget 2005 vs AprQBR by SC_AMD pricing version 2" xfId="1772"/>
    <cellStyle name="g_Asia Budget 2005 vs AprQBR by SC_CAPEX FY2006_KS_0111" xfId="1773"/>
    <cellStyle name="g_Asia Budget 2005 vs Prioryr by SC" xfId="1774"/>
    <cellStyle name="g_Asia_QbrSlides_Cust Health_22April" xfId="1775"/>
    <cellStyle name="g_Asia_QbrSlides_Cust Health_22April_AMD pricing version 2" xfId="1776"/>
    <cellStyle name="g_Asia_QbrSlides_Cust Health_22April_CAPEX FY2006_KS_0111" xfId="1777"/>
    <cellStyle name="g_Book1" xfId="1778"/>
    <cellStyle name="g_Book1_AMD pricing version 2" xfId="1779"/>
    <cellStyle name="g_Book1_analyse report for IBM_16 JUn 2003" xfId="1780"/>
    <cellStyle name="g_Book1_analyse report for IBM_16 JUn 2003_AMD pricing version 2" xfId="1781"/>
    <cellStyle name="g_Book1_analyse report for IBM_16 JUn 2003_April QBR Greater China Outlook 2004 @ 040302" xfId="1782"/>
    <cellStyle name="g_Book1_analyse report for IBM_16 JUn 2003_April QBR Greater China Outlook 2004 @ 040302_AMD pricing version 2" xfId="1783"/>
    <cellStyle name="g_Book1_analyse report for IBM_16 JUn 2003_April QBR Greater China Outlook 2004 @ 040302_CAPEX FY2006_KS_0111" xfId="1784"/>
    <cellStyle name="g_Book1_analyse report for IBM_16 JUn 2003_April QBR Greater China Outlook 2004 @ 040317" xfId="1785"/>
    <cellStyle name="g_Book1_analyse report for IBM_16 JUn 2003_April QBR Greater China Outlook 2004 @ 040317_AMD pricing version 2" xfId="1786"/>
    <cellStyle name="g_Book1_analyse report for IBM_16 JUn 2003_April QBR Greater China Outlook 2004 @ 040317_CAPEX FY2006_KS_0111" xfId="1787"/>
    <cellStyle name="g_Book1_analyse report for IBM_16 JUn 2003_Asia Actuals 200405 vs Budget 200405 by SC" xfId="1788"/>
    <cellStyle name="g_Book1_analyse report for IBM_16 JUn 2003_Asia APRQBR 1st Pass-2" xfId="1789"/>
    <cellStyle name="g_Book1_analyse report for IBM_16 JUn 2003_Asia APRQBR 1st Pass-2_AMD pricing version 2" xfId="1790"/>
    <cellStyle name="g_Book1_analyse report for IBM_16 JUn 2003_Asia APRQBR 1st Pass-2_CAPEX FY2006_KS_0111" xfId="1791"/>
    <cellStyle name="g_Book1_analyse report for IBM_16 JUn 2003_Asia APRQBR 1st Pass-3" xfId="1792"/>
    <cellStyle name="g_Book1_analyse report for IBM_16 JUn 2003_Asia APRQBR 1st Pass-3_AMD pricing version 2" xfId="1793"/>
    <cellStyle name="g_Book1_analyse report for IBM_16 JUn 2003_Asia APRQBR 1st Pass-3_CAPEX FY2006_KS_0111" xfId="1794"/>
    <cellStyle name="g_Book1_analyse report for IBM_16 JUn 2003_Asia Budget 2005 vs AprQBR by SC" xfId="1795"/>
    <cellStyle name="g_Book1_analyse report for IBM_16 JUn 2003_Asia Budget 2005 vs AprQBR by SC_AMD pricing version 2" xfId="1796"/>
    <cellStyle name="g_Book1_analyse report for IBM_16 JUn 2003_Asia Budget 2005 vs AprQBR by SC_CAPEX FY2006_KS_0111" xfId="1797"/>
    <cellStyle name="g_Book1_analyse report for IBM_16 JUn 2003_Asia Budget 2005 vs Prioryr by SC" xfId="1798"/>
    <cellStyle name="g_Book1_analyse report for IBM_16 JUn 2003_Book1" xfId="1799"/>
    <cellStyle name="g_Book1_analyse report for IBM_16 JUn 2003_Budget 2005" xfId="1800"/>
    <cellStyle name="g_Book1_analyse report for IBM_16 JUn 2003_Budget 2005_AMD pricing version 2" xfId="1801"/>
    <cellStyle name="g_Book1_analyse report for IBM_16 JUn 2003_Budget 2005_CAPEX FY2006_KS_0111" xfId="1802"/>
    <cellStyle name="g_Book1_analyse report for IBM_16 JUn 2003_CAPEX FY2006_KS_0111" xfId="1803"/>
    <cellStyle name="g_Book1_analyse report for IBM_16 JUn 2003_Copy of April QBR Greater China Outlook 2004 @ 040302" xfId="1804"/>
    <cellStyle name="g_Book1_analyse report for IBM_16 JUn 2003_Copy of April QBR Greater China Outlook 2004 @ 040302_AMD pricing version 2" xfId="1805"/>
    <cellStyle name="g_Book1_analyse report for IBM_16 JUn 2003_Copy of April QBR Greater China Outlook 2004 @ 040302_CAPEX FY2006_KS_0111" xfId="1806"/>
    <cellStyle name="g_Book1_analyse report for IBM_16 JUn 2003_Fina April QBR Greater China Outlook report @ 040416" xfId="1807"/>
    <cellStyle name="g_Book1_analyse report for IBM_16 JUn 2003_Fina April QBR Greater China Outlook report @ 040416_AMD pricing version 2" xfId="1808"/>
    <cellStyle name="g_Book1_analyse report for IBM_16 JUn 2003_Fina April QBR Greater China Outlook report @ 040416_CAPEX FY2006_KS_0111" xfId="1809"/>
    <cellStyle name="g_Book1_analyse report for IBM_16 JUn 2003_Greater China 2004  budget@24th Nov'03" xfId="1810"/>
    <cellStyle name="g_Book1_analyse report for IBM_16 JUn 2003_Greater China 2004  budget@24th Nov'03(1)" xfId="1811"/>
    <cellStyle name="g_Book1_analyse report for IBM_16 JUn 2003_Greater China 2004  budget@24th Nov'03(1)_AMD pricing version 2" xfId="1812"/>
    <cellStyle name="g_Book1_analyse report for IBM_16 JUn 2003_Greater China 2004  budget@24th Nov'03(1)_CAPEX FY2006_KS_0111" xfId="1813"/>
    <cellStyle name="g_Book1_analyse report for IBM_16 JUn 2003_Greater China 2004  budget@24th Nov'03_AMD pricing version 2" xfId="1814"/>
    <cellStyle name="g_Book1_analyse report for IBM_16 JUn 2003_Greater China 2004  budget@24th Nov'03_CAPEX FY2006_KS_0111" xfId="1815"/>
    <cellStyle name="g_Book1_analyse report for IBM_16 JUn 2003_Greater China 2004  budget@3rd Nov'03" xfId="1816"/>
    <cellStyle name="g_Book1_analyse report for IBM_16 JUn 2003_Greater China 2004  budget@3rd Nov'03_AMD pricing version 2" xfId="1817"/>
    <cellStyle name="g_Book1_analyse report for IBM_16 JUn 2003_Greater China 2004  budget@3rd Nov'03_CAPEX FY2006_KS_0111" xfId="1818"/>
    <cellStyle name="g_Book1_analyse report for IBM_16 JUn 2003_Greater China 2005 bud vs actual  and 2006 budget@050316David updated Japan accounts" xfId="1819"/>
    <cellStyle name="g_Book1_analyse report for IBM_16 JUn 2003_Greater China 2005 budget after Final version @040901" xfId="1820"/>
    <cellStyle name="g_Book1_analyse report for IBM_16 JUn 2003_Greater China 2005 budget draft@040806" xfId="1821"/>
    <cellStyle name="g_Book1_analyse report for IBM_16 JUn 2003_Greater China 2005 budget draft@040806_AMD pricing version 2" xfId="1822"/>
    <cellStyle name="g_Book1_analyse report for IBM_16 JUn 2003_Greater China 2005 budget draft@040806_CAPEX FY2006_KS_0111" xfId="1823"/>
    <cellStyle name="g_Book1_analyse report for IBM_16 JUn 2003_Greater China 2005 budget NC adjusted after Final @040831" xfId="1824"/>
    <cellStyle name="g_Book1_analyse report for IBM_16 JUn 2003_Greater China 2005 budget vs actual  @041026" xfId="1825"/>
    <cellStyle name="g_Book1_analyse report for IBM_16 JUn 2003_Greater China 2005 budget vs actual  and 2006 budget@050317 1st cut" xfId="1826"/>
    <cellStyle name="g_Book1_analyse report for IBM_16 JUn 2003_Greater China 2005 budget vs actual  and 2006 budget@050317 1st cut---CC" xfId="1827"/>
    <cellStyle name="g_Book1_analyse report for IBM_16 JUn 2003_Greater China 2006 budget@020304 " xfId="1828"/>
    <cellStyle name="g_Book1_analyse report for IBM_16 JUn 2003_Greater China New business by Sales Manager@ 15th April'04" xfId="1829"/>
    <cellStyle name="g_Book1_analyse report for IBM_16 JUn 2003_Greater China New business by Sales Manager@ 15th April'04_AMD pricing version 2" xfId="1830"/>
    <cellStyle name="g_Book1_analyse report for IBM_16 JUn 2003_Greater China New business by Sales Manager@ 15th April'04_CAPEX FY2006_KS_0111" xfId="1831"/>
    <cellStyle name="g_Book1_analyse report for IBM_16 JUn 2003_Greater China Oct QBR_Oct Actual@7 Nov 2003" xfId="1832"/>
    <cellStyle name="g_Book1_analyse report for IBM_16 JUn 2003_Greater China Oct QBR_Oct Actual@7 Nov 2003_AMD pricing version 2" xfId="1833"/>
    <cellStyle name="g_Book1_analyse report for IBM_16 JUn 2003_Greater China Oct QBR_Oct Actual@7 Nov 2003_CAPEX FY2006_KS_0111" xfId="1834"/>
    <cellStyle name="g_Book1_analyse report for IBM_16 JUn 2003_Greater China Outlook 2004 forecast by week @ 040210-97" xfId="1835"/>
    <cellStyle name="g_Book1_analyse report for IBM_16 JUn 2003_Greater China Outlook 2004 forecast by week @ 040210-97_AMD pricing version 2" xfId="1836"/>
    <cellStyle name="g_Book1_analyse report for IBM_16 JUn 2003_Greater China Outlook 2004 forecast by week @ 040210-97_CAPEX FY2006_KS_0111" xfId="1837"/>
    <cellStyle name="g_Book1_analyse report for IBM_16 JUn 2003_Greater China Outlook report @ 040616" xfId="1838"/>
    <cellStyle name="g_Book1_analyse report for IBM_16 JUn 2003_Greater China Outlook report @ 040616_AMD pricing version 2" xfId="1839"/>
    <cellStyle name="g_Book1_analyse report for IBM_16 JUn 2003_Greater China Outlook report @ 040616_CAPEX FY2006_KS_0111" xfId="1840"/>
    <cellStyle name="g_Book1_analyse report for IBM_16 JUn 2003_HP Projects sheet" xfId="1841"/>
    <cellStyle name="g_Book1_analyse report for IBM_16 JUn 2003_HTC Major Account analysie" xfId="1842"/>
    <cellStyle name="g_Book1_analyse report for IBM_16 JUn 2003_HTC Major Account analysie_AMD pricing version 2" xfId="1843"/>
    <cellStyle name="g_Book1_analyse report for IBM_16 JUn 2003_HTC Major Account analysie_CAPEX FY2006_KS_0111" xfId="1844"/>
    <cellStyle name="g_Book1_analyse report for IBM_16 JUn 2003_Instant Report - Asia AprQBR vs Budget by SC@ 9th April'04" xfId="1845"/>
    <cellStyle name="g_Book1_analyse report for IBM_16 JUn 2003_Instant Report - Asia AprQBR vs Budget by SC@ 9th April'04_AMD pricing version 2" xfId="1846"/>
    <cellStyle name="g_Book1_analyse report for IBM_16 JUn 2003_Instant Report - Asia AprQBR vs Budget by SC@ 9th April'04_CAPEX FY2006_KS_0111" xfId="1847"/>
    <cellStyle name="g_Book1_analyse report for IBM_16 JUn 2003_Kodak SH forecast in Volume to Steven" xfId="1848"/>
    <cellStyle name="g_Book1_analyse report for IBM_16 JUn 2003_Kodak SH forecast in Volume to Steven_AMD pricing version 2" xfId="1849"/>
    <cellStyle name="g_Book1_analyse report for IBM_16 JUn 2003_Kodak SH forecast in Volume to Steven_CAPEX FY2006_KS_0111" xfId="1850"/>
    <cellStyle name="g_Book1_analyse report for IBM_16 JUn 2003_leslie_compal" xfId="1851"/>
    <cellStyle name="g_Book1_analyse report for IBM_16 JUn 2003_leslie_compal_AMD pricing version 2" xfId="1852"/>
    <cellStyle name="g_Book1_analyse report for IBM_16 JUn 2003_leslie_compal_CAPEX FY2006_KS_0111" xfId="1853"/>
    <cellStyle name="g_Book1_analyse report for IBM_16 JUn 2003_Sales QbyQ Rev Var Analysis-1" xfId="1854"/>
    <cellStyle name="g_Book1_analyse report for IBM_16 JUn 2003_Sales QbyQ Rev Var Analysis-1_AMD pricing version 2" xfId="1855"/>
    <cellStyle name="g_Book1_analyse report for IBM_16 JUn 2003_Sales QbyQ Rev Var Analysis-1_CAPEX FY2006_KS_0111" xfId="1856"/>
    <cellStyle name="g_Book1_analyse report for IBM_16 JUn 2003_South China Budget 2006 Sales and VAR" xfId="1857"/>
    <cellStyle name="g_Book1_analyse report for IBM_16 JUn 2003_South China Outlook 2004 @ 040109" xfId="1858"/>
    <cellStyle name="g_Book1_analyse report for IBM_16 JUn 2003_South China Outlook 2004 @ 040109_AMD pricing version 2" xfId="1859"/>
    <cellStyle name="g_Book1_analyse report for IBM_16 JUn 2003_South China Outlook 2004 @ 040109_CAPEX FY2006_KS_0111" xfId="1860"/>
    <cellStyle name="g_Book1_analyse report for IBM_16 JUn 2003_updated-- Greater China 2005 budget draft@040805" xfId="1861"/>
    <cellStyle name="g_Book1_analyse report for IBM_16 JUn 2003_updated-- Greater China 2005 budget draft@040805_AMD pricing version 2" xfId="1862"/>
    <cellStyle name="g_Book1_analyse report for IBM_16 JUn 2003_updated-- Greater China 2005 budget draft@040805_CAPEX FY2006_KS_0111" xfId="1863"/>
    <cellStyle name="g_Book1_analyse report for IBM_16 JUn 2003_复件 Instant Report - SZ-Asia AprQBR vs Budget by SC" xfId="1864"/>
    <cellStyle name="g_Book1_analyse report for IBM_16 JUn 2003_复件 Instant Report - SZ-Asia AprQBR vs Budget by SC_AMD pricing version 2" xfId="1865"/>
    <cellStyle name="g_Book1_analyse report for IBM_16 JUn 2003_复件 Instant Report - SZ-Asia AprQBR vs Budget by SC_CAPEX FY2006_KS_0111" xfId="1866"/>
    <cellStyle name="g_Book1_CAPEX FY2006_KS_0111" xfId="1867"/>
    <cellStyle name="g_Book1_Greater Chn July QBR Final @18th June'03_HP Fcast updated1" xfId="1868"/>
    <cellStyle name="g_Book1_Greater Chn July QBR Final @18th June'03_HP Fcast updated1_AMD pricing version 2" xfId="1869"/>
    <cellStyle name="g_Book1_Greater Chn July QBR Final @18th June'03_HP Fcast updated1_April QBR Greater China Outlook 2004 @ 040302" xfId="1870"/>
    <cellStyle name="g_Book1_Greater Chn July QBR Final @18th June'03_HP Fcast updated1_April QBR Greater China Outlook 2004 @ 040302_AMD pricing version 2" xfId="1871"/>
    <cellStyle name="g_Book1_Greater Chn July QBR Final @18th June'03_HP Fcast updated1_April QBR Greater China Outlook 2004 @ 040302_CAPEX FY2006_KS_0111" xfId="1872"/>
    <cellStyle name="g_Book1_Greater Chn July QBR Final @18th June'03_HP Fcast updated1_April QBR Greater China Outlook 2004 @ 040317" xfId="1873"/>
    <cellStyle name="g_Book1_Greater Chn July QBR Final @18th June'03_HP Fcast updated1_April QBR Greater China Outlook 2004 @ 040317_AMD pricing version 2" xfId="1874"/>
    <cellStyle name="g_Book1_Greater Chn July QBR Final @18th June'03_HP Fcast updated1_April QBR Greater China Outlook 2004 @ 040317_CAPEX FY2006_KS_0111" xfId="1875"/>
    <cellStyle name="g_Book1_Greater Chn July QBR Final @18th June'03_HP Fcast updated1_Asia Actuals 200405 vs Budget 200405 by SC" xfId="1876"/>
    <cellStyle name="g_Book1_Greater Chn July QBR Final @18th June'03_HP Fcast updated1_Asia APRQBR 1st Pass-2" xfId="1877"/>
    <cellStyle name="g_Book1_Greater Chn July QBR Final @18th June'03_HP Fcast updated1_Asia APRQBR 1st Pass-2_AMD pricing version 2" xfId="1878"/>
    <cellStyle name="g_Book1_Greater Chn July QBR Final @18th June'03_HP Fcast updated1_Asia APRQBR 1st Pass-2_CAPEX FY2006_KS_0111" xfId="1879"/>
    <cellStyle name="g_Book1_Greater Chn July QBR Final @18th June'03_HP Fcast updated1_Asia APRQBR 1st Pass-3" xfId="1880"/>
    <cellStyle name="g_Book1_Greater Chn July QBR Final @18th June'03_HP Fcast updated1_Asia APRQBR 1st Pass-3_AMD pricing version 2" xfId="1881"/>
    <cellStyle name="g_Book1_Greater Chn July QBR Final @18th June'03_HP Fcast updated1_Asia APRQBR 1st Pass-3_CAPEX FY2006_KS_0111" xfId="1882"/>
    <cellStyle name="g_Book1_Greater Chn July QBR Final @18th June'03_HP Fcast updated1_Asia Budget 2005 vs AprQBR by SC" xfId="1883"/>
    <cellStyle name="g_Book1_Greater Chn July QBR Final @18th June'03_HP Fcast updated1_Asia Budget 2005 vs AprQBR by SC_AMD pricing version 2" xfId="1884"/>
    <cellStyle name="g_Book1_Greater Chn July QBR Final @18th June'03_HP Fcast updated1_Asia Budget 2005 vs AprQBR by SC_CAPEX FY2006_KS_0111" xfId="1885"/>
    <cellStyle name="g_Book1_Greater Chn July QBR Final @18th June'03_HP Fcast updated1_Asia Budget 2005 vs Prioryr by SC" xfId="1886"/>
    <cellStyle name="g_Book1_Greater Chn July QBR Final @18th June'03_HP Fcast updated1_Book1" xfId="1887"/>
    <cellStyle name="g_Book1_Greater Chn July QBR Final @18th June'03_HP Fcast updated1_Budget 2005" xfId="1888"/>
    <cellStyle name="g_Book1_Greater Chn July QBR Final @18th June'03_HP Fcast updated1_Budget 2005_AMD pricing version 2" xfId="1889"/>
    <cellStyle name="g_Book1_Greater Chn July QBR Final @18th June'03_HP Fcast updated1_Budget 2005_CAPEX FY2006_KS_0111" xfId="1890"/>
    <cellStyle name="g_Book1_Greater Chn July QBR Final @18th June'03_HP Fcast updated1_CAPEX FY2006_KS_0111" xfId="1891"/>
    <cellStyle name="g_Book1_Greater Chn July QBR Final @18th June'03_HP Fcast updated1_Copy of April QBR Greater China Outlook 2004 @ 040302" xfId="1892"/>
    <cellStyle name="g_Book1_Greater Chn July QBR Final @18th June'03_HP Fcast updated1_Copy of April QBR Greater China Outlook 2004 @ 040302_AMD pricing version 2" xfId="1893"/>
    <cellStyle name="g_Book1_Greater Chn July QBR Final @18th June'03_HP Fcast updated1_Copy of April QBR Greater China Outlook 2004 @ 040302_CAPEX FY2006_KS_0111" xfId="1894"/>
    <cellStyle name="g_Book1_Greater Chn July QBR Final @18th June'03_HP Fcast updated1_Fina April QBR Greater China Outlook report @ 040416" xfId="1895"/>
    <cellStyle name="g_Book1_Greater Chn July QBR Final @18th June'03_HP Fcast updated1_Fina April QBR Greater China Outlook report @ 040416_AMD pricing version 2" xfId="1896"/>
    <cellStyle name="g_Book1_Greater Chn July QBR Final @18th June'03_HP Fcast updated1_Fina April QBR Greater China Outlook report @ 040416_CAPEX FY2006_KS_0111" xfId="1897"/>
    <cellStyle name="g_Book1_Greater Chn July QBR Final @18th June'03_HP Fcast updated1_Greater China 2004  budget@24th Nov'03" xfId="1898"/>
    <cellStyle name="g_Book1_Greater Chn July QBR Final @18th June'03_HP Fcast updated1_Greater China 2004  budget@24th Nov'03(1)" xfId="1899"/>
    <cellStyle name="g_Book1_Greater Chn July QBR Final @18th June'03_HP Fcast updated1_Greater China 2004  budget@24th Nov'03(1)_AMD pricing version 2" xfId="1900"/>
    <cellStyle name="g_Book1_Greater Chn July QBR Final @18th June'03_HP Fcast updated1_Greater China 2004  budget@24th Nov'03(1)_CAPEX FY2006_KS_0111" xfId="1901"/>
    <cellStyle name="g_Book1_Greater Chn July QBR Final @18th June'03_HP Fcast updated1_Greater China 2004  budget@24th Nov'03_AMD pricing version 2" xfId="1902"/>
    <cellStyle name="g_Book1_Greater Chn July QBR Final @18th June'03_HP Fcast updated1_Greater China 2004  budget@24th Nov'03_CAPEX FY2006_KS_0111" xfId="1903"/>
    <cellStyle name="g_Book1_Greater Chn July QBR Final @18th June'03_HP Fcast updated1_Greater China 2004  budget@3rd Nov'03" xfId="1904"/>
    <cellStyle name="g_Book1_Greater Chn July QBR Final @18th June'03_HP Fcast updated1_Greater China 2004  budget@3rd Nov'03_AMD pricing version 2" xfId="1905"/>
    <cellStyle name="g_Book1_Greater Chn July QBR Final @18th June'03_HP Fcast updated1_Greater China 2004  budget@3rd Nov'03_CAPEX FY2006_KS_0111" xfId="1906"/>
    <cellStyle name="g_Book1_Greater Chn July QBR Final @18th June'03_HP Fcast updated1_Greater China 2005 bud vs actual  and 2006 budget@050316David updated Japan accounts" xfId="1907"/>
    <cellStyle name="g_Book1_Greater Chn July QBR Final @18th June'03_HP Fcast updated1_Greater China 2005 budget after Final version @040901" xfId="1908"/>
    <cellStyle name="g_Book1_Greater Chn July QBR Final @18th June'03_HP Fcast updated1_Greater China 2005 budget draft@040806" xfId="1909"/>
    <cellStyle name="g_Book1_Greater Chn July QBR Final @18th June'03_HP Fcast updated1_Greater China 2005 budget draft@040806_AMD pricing version 2" xfId="1910"/>
    <cellStyle name="g_Book1_Greater Chn July QBR Final @18th June'03_HP Fcast updated1_Greater China 2005 budget draft@040806_CAPEX FY2006_KS_0111" xfId="1911"/>
    <cellStyle name="g_Book1_Greater Chn July QBR Final @18th June'03_HP Fcast updated1_Greater China 2005 budget NC adjusted after Final @040831" xfId="1912"/>
    <cellStyle name="g_Book1_Greater Chn July QBR Final @18th June'03_HP Fcast updated1_Greater China 2005 budget vs actual  @041026" xfId="1913"/>
    <cellStyle name="g_Book1_Greater Chn July QBR Final @18th June'03_HP Fcast updated1_Greater China 2005 budget vs actual  and 2006 budget@050317 1st cut" xfId="1914"/>
    <cellStyle name="g_Book1_Greater Chn July QBR Final @18th June'03_HP Fcast updated1_Greater China 2005 budget vs actual  and 2006 budget@050317 1st cut---CC" xfId="1915"/>
    <cellStyle name="g_Book1_Greater Chn July QBR Final @18th June'03_HP Fcast updated1_Greater China 2006 budget@020304 " xfId="1916"/>
    <cellStyle name="g_Book1_Greater Chn July QBR Final @18th June'03_HP Fcast updated1_Greater China New business by Sales Manager@ 15th April'04" xfId="1917"/>
    <cellStyle name="g_Book1_Greater Chn July QBR Final @18th June'03_HP Fcast updated1_Greater China New business by Sales Manager@ 15th April'04_AMD pricing version 2" xfId="1918"/>
    <cellStyle name="g_Book1_Greater Chn July QBR Final @18th June'03_HP Fcast updated1_Greater China New business by Sales Manager@ 15th April'04_CAPEX FY2006_KS_0111" xfId="1919"/>
    <cellStyle name="g_Book1_Greater Chn July QBR Final @18th June'03_HP Fcast updated1_Greater China Oct QBR_Oct Actual@7 Nov 2003" xfId="1920"/>
    <cellStyle name="g_Book1_Greater Chn July QBR Final @18th June'03_HP Fcast updated1_Greater China Oct QBR_Oct Actual@7 Nov 2003_AMD pricing version 2" xfId="1921"/>
    <cellStyle name="g_Book1_Greater Chn July QBR Final @18th June'03_HP Fcast updated1_Greater China Oct QBR_Oct Actual@7 Nov 2003_CAPEX FY2006_KS_0111" xfId="1922"/>
    <cellStyle name="g_Book1_Greater Chn July QBR Final @18th June'03_HP Fcast updated1_Greater China Outlook 2004 forecast by week @ 040210-97" xfId="1923"/>
    <cellStyle name="g_Book1_Greater Chn July QBR Final @18th June'03_HP Fcast updated1_Greater China Outlook 2004 forecast by week @ 040210-97_AMD pricing version 2" xfId="1924"/>
    <cellStyle name="g_Book1_Greater Chn July QBR Final @18th June'03_HP Fcast updated1_Greater China Outlook 2004 forecast by week @ 040210-97_CAPEX FY2006_KS_0111" xfId="1925"/>
    <cellStyle name="g_Book1_Greater Chn July QBR Final @18th June'03_HP Fcast updated1_Greater China Outlook report @ 040616" xfId="1926"/>
    <cellStyle name="g_Book1_Greater Chn July QBR Final @18th June'03_HP Fcast updated1_Greater China Outlook report @ 040616_AMD pricing version 2" xfId="1927"/>
    <cellStyle name="g_Book1_Greater Chn July QBR Final @18th June'03_HP Fcast updated1_Greater China Outlook report @ 040616_CAPEX FY2006_KS_0111" xfId="1928"/>
    <cellStyle name="g_Book1_Greater Chn July QBR Final @18th June'03_HP Fcast updated1_HP Projects sheet" xfId="1929"/>
    <cellStyle name="g_Book1_Greater Chn July QBR Final @18th June'03_HP Fcast updated1_HTC Major Account analysie" xfId="1930"/>
    <cellStyle name="g_Book1_Greater Chn July QBR Final @18th June'03_HP Fcast updated1_HTC Major Account analysie_AMD pricing version 2" xfId="1931"/>
    <cellStyle name="g_Book1_Greater Chn July QBR Final @18th June'03_HP Fcast updated1_HTC Major Account analysie_CAPEX FY2006_KS_0111" xfId="1932"/>
    <cellStyle name="g_Book1_Greater Chn July QBR Final @18th June'03_HP Fcast updated1_Instant Report - Asia AprQBR vs Budget by SC@ 9th April'04" xfId="1933"/>
    <cellStyle name="g_Book1_Greater Chn July QBR Final @18th June'03_HP Fcast updated1_Instant Report - Asia AprQBR vs Budget by SC@ 9th April'04_AMD pricing version 2" xfId="1934"/>
    <cellStyle name="g_Book1_Greater Chn July QBR Final @18th June'03_HP Fcast updated1_Instant Report - Asia AprQBR vs Budget by SC@ 9th April'04_CAPEX FY2006_KS_0111" xfId="1935"/>
    <cellStyle name="g_Book1_Greater Chn July QBR Final @18th June'03_HP Fcast updated1_Kodak SH forecast in Volume to Steven" xfId="1936"/>
    <cellStyle name="g_Book1_Greater Chn July QBR Final @18th June'03_HP Fcast updated1_Kodak SH forecast in Volume to Steven_AMD pricing version 2" xfId="1937"/>
    <cellStyle name="g_Book1_Greater Chn July QBR Final @18th June'03_HP Fcast updated1_Kodak SH forecast in Volume to Steven_CAPEX FY2006_KS_0111" xfId="1938"/>
    <cellStyle name="g_Book1_Greater Chn July QBR Final @18th June'03_HP Fcast updated1_leslie_compal" xfId="1939"/>
    <cellStyle name="g_Book1_Greater Chn July QBR Final @18th June'03_HP Fcast updated1_leslie_compal_AMD pricing version 2" xfId="1940"/>
    <cellStyle name="g_Book1_Greater Chn July QBR Final @18th June'03_HP Fcast updated1_leslie_compal_CAPEX FY2006_KS_0111" xfId="1941"/>
    <cellStyle name="g_Book1_Greater Chn July QBR Final @18th June'03_HP Fcast updated1_Sales QbyQ Rev Var Analysis-1" xfId="1942"/>
    <cellStyle name="g_Book1_Greater Chn July QBR Final @18th June'03_HP Fcast updated1_Sales QbyQ Rev Var Analysis-1_AMD pricing version 2" xfId="1943"/>
    <cellStyle name="g_Book1_Greater Chn July QBR Final @18th June'03_HP Fcast updated1_Sales QbyQ Rev Var Analysis-1_CAPEX FY2006_KS_0111" xfId="1944"/>
    <cellStyle name="g_Book1_Greater Chn July QBR Final @18th June'03_HP Fcast updated1_South China Budget 2006 Sales and VAR" xfId="1945"/>
    <cellStyle name="g_Book1_Greater Chn July QBR Final @18th June'03_HP Fcast updated1_South China Outlook 2004 @ 040109" xfId="1946"/>
    <cellStyle name="g_Book1_Greater Chn July QBR Final @18th June'03_HP Fcast updated1_South China Outlook 2004 @ 040109_AMD pricing version 2" xfId="1947"/>
    <cellStyle name="g_Book1_Greater Chn July QBR Final @18th June'03_HP Fcast updated1_South China Outlook 2004 @ 040109_CAPEX FY2006_KS_0111" xfId="1948"/>
    <cellStyle name="g_Book1_Greater Chn July QBR Final @18th June'03_HP Fcast updated1_updated-- Greater China 2005 budget draft@040805" xfId="1949"/>
    <cellStyle name="g_Book1_Greater Chn July QBR Final @18th June'03_HP Fcast updated1_updated-- Greater China 2005 budget draft@040805_AMD pricing version 2" xfId="1950"/>
    <cellStyle name="g_Book1_Greater Chn July QBR Final @18th June'03_HP Fcast updated1_updated-- Greater China 2005 budget draft@040805_CAPEX FY2006_KS_0111" xfId="1951"/>
    <cellStyle name="g_Book1_Greater Chn July QBR Final @18th June'03_HP Fcast updated1_复件 Instant Report - SZ-Asia AprQBR vs Budget by SC" xfId="1952"/>
    <cellStyle name="g_Book1_Greater Chn July QBR Final @18th June'03_HP Fcast updated1_复件 Instant Report - SZ-Asia AprQBR vs Budget by SC_AMD pricing version 2" xfId="1953"/>
    <cellStyle name="g_Book1_Greater Chn July QBR Final @18th June'03_HP Fcast updated1_复件 Instant Report - SZ-Asia AprQBR vs Budget by SC_CAPEX FY2006_KS_0111" xfId="1954"/>
    <cellStyle name="g_bridge 2006 bud w forecast" xfId="1955"/>
    <cellStyle name="g_Budget 2005" xfId="1956"/>
    <cellStyle name="g_Budget 2005_AMD pricing version 2" xfId="1957"/>
    <cellStyle name="g_Budget 2005_CAPEX FY2006_KS_0111" xfId="1958"/>
    <cellStyle name="g_CAPEX FY2006_KS_0111" xfId="1959"/>
    <cellStyle name="g_Copy of April QBR Greater China Outlook 2004 @ 040302" xfId="1960"/>
    <cellStyle name="g_Copy of April QBR Greater China Outlook 2004 @ 040302_AMD pricing version 2" xfId="1961"/>
    <cellStyle name="g_Copy of April QBR Greater China Outlook 2004 @ 040302_CAPEX FY2006_KS_0111" xfId="1962"/>
    <cellStyle name="g_Copy of HP YTD Profitability" xfId="1963"/>
    <cellStyle name="g_Europe Budget 07 vs Actuals2 9 May" xfId="1964"/>
    <cellStyle name="g_Fina April QBR Greater China Outlook report @ 040416" xfId="1965"/>
    <cellStyle name="g_Fina April QBR Greater China Outlook report @ 040416_AMD pricing version 2" xfId="1966"/>
    <cellStyle name="g_Fina April QBR Greater China Outlook report @ 040416_CAPEX FY2006_KS_0111" xfId="1967"/>
    <cellStyle name="g_Greater China 2004  budget@24th Nov'03" xfId="1968"/>
    <cellStyle name="g_Greater China 2004  budget@24th Nov'03(1)" xfId="1969"/>
    <cellStyle name="g_Greater China 2004  budget@24th Nov'03(1)_AMD pricing version 2" xfId="1970"/>
    <cellStyle name="g_Greater China 2004  budget@24th Nov'03(1)_CAPEX FY2006_KS_0111" xfId="1971"/>
    <cellStyle name="g_Greater China 2004  budget@24th Nov'03_AMD pricing version 2" xfId="1972"/>
    <cellStyle name="g_Greater China 2004  budget@24th Nov'03_CAPEX FY2006_KS_0111" xfId="1973"/>
    <cellStyle name="g_Greater China 2004  budget@3rd Nov'03" xfId="1974"/>
    <cellStyle name="g_Greater China 2004  budget@3rd Nov'03_AMD pricing version 2" xfId="1975"/>
    <cellStyle name="g_Greater China 2004  budget@3rd Nov'03_CAPEX FY2006_KS_0111" xfId="1976"/>
    <cellStyle name="g_Greater China 2005 bud vs actual  and 2006 budget@050316David updated Japan accounts" xfId="1977"/>
    <cellStyle name="g_Greater China 2005 budget after Final version @040901" xfId="1978"/>
    <cellStyle name="g_Greater China 2005 budget draft@040806" xfId="1979"/>
    <cellStyle name="g_Greater China 2005 budget draft@040806_AMD pricing version 2" xfId="1980"/>
    <cellStyle name="g_Greater China 2005 budget draft@040806_CAPEX FY2006_KS_0111" xfId="1981"/>
    <cellStyle name="g_Greater China 2005 budget NC adjusted after Final @040831" xfId="1982"/>
    <cellStyle name="g_Greater China 2005 budget vs actual  @041026" xfId="1983"/>
    <cellStyle name="g_Greater China 2005 budget vs actual  and 2006 budget@050317 1st cut" xfId="1984"/>
    <cellStyle name="g_Greater China 2005 budget vs actual  and 2006 budget@050317 1st cut---CC" xfId="1985"/>
    <cellStyle name="g_Greater China 2006 budget@020304 " xfId="1986"/>
    <cellStyle name="g_Greater China 2007 Budget@ Mar 10 2006_v4" xfId="1987"/>
    <cellStyle name="g_Greater China 2007 Budget@ Mar 10 2006_v5" xfId="1988"/>
    <cellStyle name="g_Greater China Com Reduction Summary report@17th June'03" xfId="1989"/>
    <cellStyle name="g_Greater China Com Reduction Summary report@17th June'03_AMD pricing version 2" xfId="1990"/>
    <cellStyle name="g_Greater China Com Reduction Summary report@17th June'03_CAPEX FY2006_KS_0111" xfId="1991"/>
    <cellStyle name="g_Greater China New business by Sales Manager@ 15th April'04" xfId="1992"/>
    <cellStyle name="g_Greater China New business by Sales Manager@ 15th April'04_AMD pricing version 2" xfId="1993"/>
    <cellStyle name="g_Greater China New business by Sales Manager@ 15th April'04_CAPEX FY2006_KS_0111" xfId="1994"/>
    <cellStyle name="g_Greater China Oct QBR_Oct Actual@7 Nov 2003" xfId="1995"/>
    <cellStyle name="g_Greater China Oct QBR_Oct Actual@7 Nov 2003_AMD pricing version 2" xfId="1996"/>
    <cellStyle name="g_Greater China Oct QBR_Oct Actual@7 Nov 2003_CAPEX FY2006_KS_0111" xfId="1997"/>
    <cellStyle name="g_Greater China Outlook 2004 forecast by week @ 040210-97" xfId="1998"/>
    <cellStyle name="g_Greater China Outlook 2004 forecast by week @ 040210-97_AMD pricing version 2" xfId="1999"/>
    <cellStyle name="g_Greater China Outlook 2004 forecast by week @ 040210-97_CAPEX FY2006_KS_0111" xfId="2000"/>
    <cellStyle name="g_Greater China Outlook report @ 040616" xfId="2001"/>
    <cellStyle name="g_Greater China Outlook report @ 040616_AMD pricing version 2" xfId="2002"/>
    <cellStyle name="g_Greater China Outlook report @ 040616_CAPEX FY2006_KS_0111" xfId="2003"/>
    <cellStyle name="g_Greater Chn July QBR Final @18th June'03" xfId="2004"/>
    <cellStyle name="g_Greater Chn July QBR Final @18th June'03_AMD pricing version 2" xfId="2005"/>
    <cellStyle name="g_Greater Chn July QBR Final @18th June'03_CAPEX FY2006_KS_0111" xfId="2006"/>
    <cellStyle name="g_Greater Chn Outlook Sum@16th June'03" xfId="2007"/>
    <cellStyle name="g_Greater Chn Outlook Sum@16th June'03_AMD pricing version 2" xfId="2008"/>
    <cellStyle name="g_Greater Chn Outlook Sum@16th June'03_April QBR Greater China Outlook 2004 @ 040302" xfId="2009"/>
    <cellStyle name="g_Greater Chn Outlook Sum@16th June'03_April QBR Greater China Outlook 2004 @ 040302_AMD pricing version 2" xfId="2010"/>
    <cellStyle name="g_Greater Chn Outlook Sum@16th June'03_April QBR Greater China Outlook 2004 @ 040302_CAPEX FY2006_KS_0111" xfId="2011"/>
    <cellStyle name="g_Greater Chn Outlook Sum@16th June'03_April QBR Greater China Outlook 2004 @ 040317" xfId="2012"/>
    <cellStyle name="g_Greater Chn Outlook Sum@16th June'03_April QBR Greater China Outlook 2004 @ 040317_AMD pricing version 2" xfId="2013"/>
    <cellStyle name="g_Greater Chn Outlook Sum@16th June'03_April QBR Greater China Outlook 2004 @ 040317_CAPEX FY2006_KS_0111" xfId="2014"/>
    <cellStyle name="g_Greater Chn Outlook Sum@16th June'03_Asia Actuals 200405 vs Budget 200405 by SC" xfId="2015"/>
    <cellStyle name="g_Greater Chn Outlook Sum@16th June'03_Asia APRQBR 1st Pass-2" xfId="2016"/>
    <cellStyle name="g_Greater Chn Outlook Sum@16th June'03_Asia APRQBR 1st Pass-2_AMD pricing version 2" xfId="2017"/>
    <cellStyle name="g_Greater Chn Outlook Sum@16th June'03_Asia APRQBR 1st Pass-2_CAPEX FY2006_KS_0111" xfId="2018"/>
    <cellStyle name="g_Greater Chn Outlook Sum@16th June'03_Asia APRQBR 1st Pass-3" xfId="2019"/>
    <cellStyle name="g_Greater Chn Outlook Sum@16th June'03_Asia APRQBR 1st Pass-3_AMD pricing version 2" xfId="2020"/>
    <cellStyle name="g_Greater Chn Outlook Sum@16th June'03_Asia APRQBR 1st Pass-3_CAPEX FY2006_KS_0111" xfId="2021"/>
    <cellStyle name="g_Greater Chn Outlook Sum@16th June'03_Asia Budget 2005 vs AprQBR by SC" xfId="2022"/>
    <cellStyle name="g_Greater Chn Outlook Sum@16th June'03_Asia Budget 2005 vs AprQBR by SC_AMD pricing version 2" xfId="2023"/>
    <cellStyle name="g_Greater Chn Outlook Sum@16th June'03_Asia Budget 2005 vs AprQBR by SC_CAPEX FY2006_KS_0111" xfId="2024"/>
    <cellStyle name="g_Greater Chn Outlook Sum@16th June'03_Asia Budget 2005 vs Prioryr by SC" xfId="2025"/>
    <cellStyle name="g_Greater Chn Outlook Sum@16th June'03_Book1" xfId="2026"/>
    <cellStyle name="g_Greater Chn Outlook Sum@16th June'03_Budget 2005" xfId="2027"/>
    <cellStyle name="g_Greater Chn Outlook Sum@16th June'03_Budget 2005_AMD pricing version 2" xfId="2028"/>
    <cellStyle name="g_Greater Chn Outlook Sum@16th June'03_Budget 2005_CAPEX FY2006_KS_0111" xfId="2029"/>
    <cellStyle name="g_Greater Chn Outlook Sum@16th June'03_CAPEX FY2006_KS_0111" xfId="2030"/>
    <cellStyle name="g_Greater Chn Outlook Sum@16th June'03_Copy of April QBR Greater China Outlook 2004 @ 040302" xfId="2031"/>
    <cellStyle name="g_Greater Chn Outlook Sum@16th June'03_Copy of April QBR Greater China Outlook 2004 @ 040302_AMD pricing version 2" xfId="2032"/>
    <cellStyle name="g_Greater Chn Outlook Sum@16th June'03_Copy of April QBR Greater China Outlook 2004 @ 040302_CAPEX FY2006_KS_0111" xfId="2033"/>
    <cellStyle name="g_Greater Chn Outlook Sum@16th June'03_Fina April QBR Greater China Outlook report @ 040416" xfId="2034"/>
    <cellStyle name="g_Greater Chn Outlook Sum@16th June'03_Fina April QBR Greater China Outlook report @ 040416_AMD pricing version 2" xfId="2035"/>
    <cellStyle name="g_Greater Chn Outlook Sum@16th June'03_Fina April QBR Greater China Outlook report @ 040416_CAPEX FY2006_KS_0111" xfId="2036"/>
    <cellStyle name="g_Greater Chn Outlook Sum@16th June'03_Greater China 2004  budget@24th Nov'03" xfId="2037"/>
    <cellStyle name="g_Greater Chn Outlook Sum@16th June'03_Greater China 2004  budget@24th Nov'03(1)" xfId="2038"/>
    <cellStyle name="g_Greater Chn Outlook Sum@16th June'03_Greater China 2004  budget@24th Nov'03(1)_AMD pricing version 2" xfId="2039"/>
    <cellStyle name="g_Greater Chn Outlook Sum@16th June'03_Greater China 2004  budget@24th Nov'03(1)_CAPEX FY2006_KS_0111" xfId="2040"/>
    <cellStyle name="g_Greater Chn Outlook Sum@16th June'03_Greater China 2004  budget@24th Nov'03_AMD pricing version 2" xfId="2041"/>
    <cellStyle name="g_Greater Chn Outlook Sum@16th June'03_Greater China 2004  budget@24th Nov'03_CAPEX FY2006_KS_0111" xfId="2042"/>
    <cellStyle name="g_Greater Chn Outlook Sum@16th June'03_Greater China 2004  budget@3rd Nov'03" xfId="2043"/>
    <cellStyle name="g_Greater Chn Outlook Sum@16th June'03_Greater China 2004  budget@3rd Nov'03_AMD pricing version 2" xfId="2044"/>
    <cellStyle name="g_Greater Chn Outlook Sum@16th June'03_Greater China 2004  budget@3rd Nov'03_CAPEX FY2006_KS_0111" xfId="2045"/>
    <cellStyle name="g_Greater Chn Outlook Sum@16th June'03_Greater China 2005 bud vs actual  and 2006 budget@050316David updated Japan accounts" xfId="2046"/>
    <cellStyle name="g_Greater Chn Outlook Sum@16th June'03_Greater China 2005 budget after Final version @040901" xfId="2047"/>
    <cellStyle name="g_Greater Chn Outlook Sum@16th June'03_Greater China 2005 budget draft@040806" xfId="2048"/>
    <cellStyle name="g_Greater Chn Outlook Sum@16th June'03_Greater China 2005 budget draft@040806_AMD pricing version 2" xfId="2049"/>
    <cellStyle name="g_Greater Chn Outlook Sum@16th June'03_Greater China 2005 budget draft@040806_CAPEX FY2006_KS_0111" xfId="2050"/>
    <cellStyle name="g_Greater Chn Outlook Sum@16th June'03_Greater China 2005 budget NC adjusted after Final @040831" xfId="2051"/>
    <cellStyle name="g_Greater Chn Outlook Sum@16th June'03_Greater China 2005 budget vs actual  @041026" xfId="2052"/>
    <cellStyle name="g_Greater Chn Outlook Sum@16th June'03_Greater China 2005 budget vs actual  and 2006 budget@050317 1st cut" xfId="2053"/>
    <cellStyle name="g_Greater Chn Outlook Sum@16th June'03_Greater China 2005 budget vs actual  and 2006 budget@050317 1st cut---CC" xfId="2054"/>
    <cellStyle name="g_Greater Chn Outlook Sum@16th June'03_Greater China 2006 budget@020304 " xfId="2055"/>
    <cellStyle name="g_Greater Chn Outlook Sum@16th June'03_Greater China New business by Sales Manager@ 15th April'04" xfId="2056"/>
    <cellStyle name="g_Greater Chn Outlook Sum@16th June'03_Greater China New business by Sales Manager@ 15th April'04_AMD pricing version 2" xfId="2057"/>
    <cellStyle name="g_Greater Chn Outlook Sum@16th June'03_Greater China New business by Sales Manager@ 15th April'04_CAPEX FY2006_KS_0111" xfId="2058"/>
    <cellStyle name="g_Greater Chn Outlook Sum@16th June'03_Greater China Oct QBR_Oct Actual@7 Nov 2003" xfId="2059"/>
    <cellStyle name="g_Greater Chn Outlook Sum@16th June'03_Greater China Oct QBR_Oct Actual@7 Nov 2003_AMD pricing version 2" xfId="2060"/>
    <cellStyle name="g_Greater Chn Outlook Sum@16th June'03_Greater China Oct QBR_Oct Actual@7 Nov 2003_CAPEX FY2006_KS_0111" xfId="2061"/>
    <cellStyle name="g_Greater Chn Outlook Sum@16th June'03_Greater China Outlook 2004 forecast by week @ 040210-97" xfId="2062"/>
    <cellStyle name="g_Greater Chn Outlook Sum@16th June'03_Greater China Outlook 2004 forecast by week @ 040210-97_AMD pricing version 2" xfId="2063"/>
    <cellStyle name="g_Greater Chn Outlook Sum@16th June'03_Greater China Outlook 2004 forecast by week @ 040210-97_CAPEX FY2006_KS_0111" xfId="2064"/>
    <cellStyle name="g_Greater Chn Outlook Sum@16th June'03_Greater China Outlook report @ 040616" xfId="2065"/>
    <cellStyle name="g_Greater Chn Outlook Sum@16th June'03_Greater China Outlook report @ 040616_AMD pricing version 2" xfId="2066"/>
    <cellStyle name="g_Greater Chn Outlook Sum@16th June'03_Greater China Outlook report @ 040616_CAPEX FY2006_KS_0111" xfId="2067"/>
    <cellStyle name="g_Greater Chn Outlook Sum@16th June'03_HP Projects sheet" xfId="2068"/>
    <cellStyle name="g_Greater Chn Outlook Sum@16th June'03_HTC Major Account analysie" xfId="2069"/>
    <cellStyle name="g_Greater Chn Outlook Sum@16th June'03_HTC Major Account analysie_AMD pricing version 2" xfId="2070"/>
    <cellStyle name="g_Greater Chn Outlook Sum@16th June'03_HTC Major Account analysie_CAPEX FY2006_KS_0111" xfId="2071"/>
    <cellStyle name="g_Greater Chn Outlook Sum@16th June'03_Instant Report - Asia AprQBR vs Budget by SC@ 9th April'04" xfId="2072"/>
    <cellStyle name="g_Greater Chn Outlook Sum@16th June'03_Instant Report - Asia AprQBR vs Budget by SC@ 9th April'04_AMD pricing version 2" xfId="2073"/>
    <cellStyle name="g_Greater Chn Outlook Sum@16th June'03_Instant Report - Asia AprQBR vs Budget by SC@ 9th April'04_CAPEX FY2006_KS_0111" xfId="2074"/>
    <cellStyle name="g_Greater Chn Outlook Sum@16th June'03_Kodak SH forecast in Volume to Steven" xfId="2075"/>
    <cellStyle name="g_Greater Chn Outlook Sum@16th June'03_Kodak SH forecast in Volume to Steven_AMD pricing version 2" xfId="2076"/>
    <cellStyle name="g_Greater Chn Outlook Sum@16th June'03_Kodak SH forecast in Volume to Steven_CAPEX FY2006_KS_0111" xfId="2077"/>
    <cellStyle name="g_Greater Chn Outlook Sum@16th June'03_leslie_compal" xfId="2078"/>
    <cellStyle name="g_Greater Chn Outlook Sum@16th June'03_leslie_compal_AMD pricing version 2" xfId="2079"/>
    <cellStyle name="g_Greater Chn Outlook Sum@16th June'03_leslie_compal_CAPEX FY2006_KS_0111" xfId="2080"/>
    <cellStyle name="g_Greater Chn Outlook Sum@16th June'03_Sales QbyQ Rev Var Analysis-1" xfId="2081"/>
    <cellStyle name="g_Greater Chn Outlook Sum@16th June'03_Sales QbyQ Rev Var Analysis-1_AMD pricing version 2" xfId="2082"/>
    <cellStyle name="g_Greater Chn Outlook Sum@16th June'03_Sales QbyQ Rev Var Analysis-1_CAPEX FY2006_KS_0111" xfId="2083"/>
    <cellStyle name="g_Greater Chn Outlook Sum@16th June'03_South China Budget 2006 Sales and VAR" xfId="2084"/>
    <cellStyle name="g_Greater Chn Outlook Sum@16th June'03_South China Outlook 2004 @ 040109" xfId="2085"/>
    <cellStyle name="g_Greater Chn Outlook Sum@16th June'03_South China Outlook 2004 @ 040109_AMD pricing version 2" xfId="2086"/>
    <cellStyle name="g_Greater Chn Outlook Sum@16th June'03_South China Outlook 2004 @ 040109_CAPEX FY2006_KS_0111" xfId="2087"/>
    <cellStyle name="g_Greater Chn Outlook Sum@16th June'03_updated-- Greater China 2005 budget draft@040805" xfId="2088"/>
    <cellStyle name="g_Greater Chn Outlook Sum@16th June'03_updated-- Greater China 2005 budget draft@040805_AMD pricing version 2" xfId="2089"/>
    <cellStyle name="g_Greater Chn Outlook Sum@16th June'03_updated-- Greater China 2005 budget draft@040805_CAPEX FY2006_KS_0111" xfId="2090"/>
    <cellStyle name="g_Greater Chn Outlook Sum@16th June'03_复件 Instant Report - SZ-Asia AprQBR vs Budget by SC" xfId="2091"/>
    <cellStyle name="g_Greater Chn Outlook Sum@16th June'03_复件 Instant Report - SZ-Asia AprQBR vs Budget by SC_AMD pricing version 2" xfId="2092"/>
    <cellStyle name="g_Greater Chn Outlook Sum@16th June'03_复件 Instant Report - SZ-Asia AprQBR vs Budget by SC_CAPEX FY2006_KS_0111" xfId="2093"/>
    <cellStyle name="g_HP Projects sheet" xfId="2094"/>
    <cellStyle name="g_HTC Major Account analysie" xfId="2095"/>
    <cellStyle name="g_HTC Major Account analysie_AMD pricing version 2" xfId="2096"/>
    <cellStyle name="g_HTC Major Account analysie_CAPEX FY2006_KS_0111" xfId="2097"/>
    <cellStyle name="g_Instant Report - Asia AprQBR vs Budget by SC@ 9th April'04" xfId="2098"/>
    <cellStyle name="g_Instant Report - Asia AprQBR vs Budget by SC@ 9th April'04_AMD pricing version 2" xfId="2099"/>
    <cellStyle name="g_Instant Report - Asia AprQBR vs Budget by SC@ 9th April'04_CAPEX FY2006_KS_0111" xfId="2100"/>
    <cellStyle name="g_Kodak SH forecast in Volume to Steven" xfId="2101"/>
    <cellStyle name="g_Kodak SH forecast in Volume to Steven_AMD pricing version 2" xfId="2102"/>
    <cellStyle name="g_Kodak SH forecast in Volume to Steven_CAPEX FY2006_KS_0111" xfId="2103"/>
    <cellStyle name="g_leslie_compal" xfId="2104"/>
    <cellStyle name="g_leslie_compal_AMD pricing version 2" xfId="2105"/>
    <cellStyle name="g_leslie_compal_CAPEX FY2006_KS_0111" xfId="2106"/>
    <cellStyle name="g_MSAR_HP_capex" xfId="2107"/>
    <cellStyle name="g_NorthChina variance (2)" xfId="2108"/>
    <cellStyle name="g_Sales QbyQ Rev Var Analysis-1" xfId="2109"/>
    <cellStyle name="g_Sales QbyQ Rev Var Analysis-1_AMD pricing version 2" xfId="2110"/>
    <cellStyle name="g_Sales QbyQ Rev Var Analysis-1_CAPEX FY2006_KS_0111" xfId="2111"/>
    <cellStyle name="g_SC JulyQBR Final slide --SZ FT@23rd June'03" xfId="2112"/>
    <cellStyle name="g_SC JulyQBR Final slide --SZ FT@23rd June'03_AMD pricing version 2" xfId="2113"/>
    <cellStyle name="g_SC JulyQBR Final slide --SZ FT@23rd June'03_CAPEX FY2006_KS_0111" xfId="2114"/>
    <cellStyle name="g_SC JulyQBR Final slide --SZ XX@23rd June'03 " xfId="2115"/>
    <cellStyle name="g_SC JulyQBR Final slide --SZ XX@23rd June'03 _AMD pricing version 2" xfId="2116"/>
    <cellStyle name="g_SC JulyQBR Final slide --SZ XX@23rd June'03 _CAPEX FY2006_KS_0111" xfId="2117"/>
    <cellStyle name="g_SC JulyQBR Final slide template-Futian" xfId="2118"/>
    <cellStyle name="g_SC JulyQBR Final slide template-Futian_AMD pricing version 2" xfId="2119"/>
    <cellStyle name="g_SC JulyQBR Final slide template-Futian_CAPEX FY2006_KS_0111" xfId="2120"/>
    <cellStyle name="g_SC JulyQBR Final slide template-Shenzhen" xfId="2121"/>
    <cellStyle name="g_SC JulyQBR Final slide template-Shenzhen_AMD pricing version 2" xfId="2122"/>
    <cellStyle name="g_SC JulyQBR Final slide template-Shenzhen_CAPEX FY2006_KS_0111" xfId="2123"/>
    <cellStyle name="g_SC JulyQBR Final slide-Futian value" xfId="2124"/>
    <cellStyle name="g_SC JulyQBR Final slide-Futian value_AMD pricing version 2" xfId="2125"/>
    <cellStyle name="g_SC JulyQBR Final slide-Futian value_CAPEX FY2006_KS_0111" xfId="2126"/>
    <cellStyle name="g_SC JulyQBR Final slide-Futian value1" xfId="2127"/>
    <cellStyle name="g_SC JulyQBR Final slide-Futian value1_AMD pricing version 2" xfId="2128"/>
    <cellStyle name="g_SC JulyQBR Final slide-Futian value1_CAPEX FY2006_KS_0111" xfId="2129"/>
    <cellStyle name="g_SC JulyQBR Final slide-ShenZhen value" xfId="2130"/>
    <cellStyle name="g_SC JulyQBR Final slide-ShenZhen value_AMD pricing version 2" xfId="2131"/>
    <cellStyle name="g_SC JulyQBR Final slide-ShenZhen value_CAPEX FY2006_KS_0111" xfId="2132"/>
    <cellStyle name="g_SC JulyQBR Final slide-ShenZhen value1" xfId="2133"/>
    <cellStyle name="g_SC JulyQBR Final slide-ShenZhen value1_AMD pricing version 2" xfId="2134"/>
    <cellStyle name="g_SC JulyQBR Final slide-ShenZhen value1_CAPEX FY2006_KS_0111" xfId="2135"/>
    <cellStyle name="g_SC QBR checked deck 3.5.031 Taipei_Plant" xfId="2136"/>
    <cellStyle name="g_SC QBR checked deck 3.5.031 Taipei_Plant_AMD pricing version 2" xfId="2137"/>
    <cellStyle name="g_SC QBR checked deck 3.5.031 Taipei_Plant_CAPEX FY2006_KS_0111" xfId="2138"/>
    <cellStyle name="g_SC_QBR new deck 3.5.031" xfId="2139"/>
    <cellStyle name="g_SC_QBR new deck 3.5.031_AMD pricing version 2" xfId="2140"/>
    <cellStyle name="g_SC_QBR new deck 3.5.031_CAPEX FY2006_KS_0111" xfId="2141"/>
    <cellStyle name="g_SC_QBR new deck 3.5.031_Jasmine" xfId="2142"/>
    <cellStyle name="g_SC_QBR new deck 3.5.031_Jasmine_AMD pricing version 2" xfId="2143"/>
    <cellStyle name="g_SC_QBR new deck 3.5.031_Jasmine_CAPEX FY2006_KS_0111" xfId="2144"/>
    <cellStyle name="g_Simple Tech project -v2 (2)" xfId="2145"/>
    <cellStyle name="g_South China Budget 2006 Sales and VAR" xfId="2146"/>
    <cellStyle name="g_South China Outlook 2004 @ 040109" xfId="2147"/>
    <cellStyle name="g_South China Outlook 2004 @ 040109_AMD pricing version 2" xfId="2148"/>
    <cellStyle name="g_South China Outlook 2004 @ 040109_CAPEX FY2006_KS_0111" xfId="2149"/>
    <cellStyle name="g_Stock Aging-03-2003" xfId="2150"/>
    <cellStyle name="g_Stock Aging-03-2003_AMD pricing version 2" xfId="2151"/>
    <cellStyle name="g_Stock Aging-03-2003_CAPEX FY2006_KS_0111" xfId="2152"/>
    <cellStyle name="g_Taiwan Sales &amp; Var - QBR &amp; budget" xfId="2153"/>
    <cellStyle name="g_Taiwan Sales &amp; Var - QBR &amp; budget_AMD pricing version 2" xfId="2154"/>
    <cellStyle name="g_Taiwan Sales &amp; Var - QBR &amp; budget_CAPEX FY2006_KS_0111" xfId="2155"/>
    <cellStyle name="g_Tax-rate" xfId="2156"/>
    <cellStyle name="g_Tax-rate_AMD pricing version 2" xfId="2157"/>
    <cellStyle name="g_Tax-rate_CAPEX FY2006_KS_0111" xfId="2158"/>
    <cellStyle name="g_Trial Asia Budget 06 vs 05 Rev VAR with Asia Based Clients" xfId="2159"/>
    <cellStyle name="g_updated-- Greater China 2005 budget draft@040805" xfId="2160"/>
    <cellStyle name="g_updated-- Greater China 2005 budget draft@040805_AMD pricing version 2" xfId="2161"/>
    <cellStyle name="g_updated-- Greater China 2005 budget draft@040805_CAPEX FY2006_KS_0111" xfId="2162"/>
    <cellStyle name="g_UPSHOT Asia Budget 06 vs 05  with Asia Based Clients FINAL (2) (3)" xfId="2163"/>
    <cellStyle name="g_upshot Rev and Var - 200306-Revised-v2" xfId="2164"/>
    <cellStyle name="g_Upshot Rev and Var - 200306-v11" xfId="2165"/>
    <cellStyle name="g_Upshot Rev and Var - 200306-v11-elva" xfId="2166"/>
    <cellStyle name="g_Upshot Rev and Var - 200306-v15" xfId="2167"/>
    <cellStyle name="g_Upshot Rev and Var - 200306-v18" xfId="2168"/>
    <cellStyle name="g_upshot Rev and Var - 200306-v5" xfId="2169"/>
    <cellStyle name="g_Upshot Rev and Var - 200306-v6" xfId="2170"/>
    <cellStyle name="g_Upshot Rev and Var - 200306-v6_bridge 2006 bud w forecast" xfId="2171"/>
    <cellStyle name="g_Upshot Rev and Var - 200306-v6_Upshot Rev and Var - 200306-v11" xfId="2172"/>
    <cellStyle name="g_Upshot Rev and Var - 200306-v6_Upshot Rev and Var - 200306-v11-elva" xfId="2173"/>
    <cellStyle name="g_Upshot Rev and Var - 200306-v6_Upshot Rev and Var - 200306-v15" xfId="2174"/>
    <cellStyle name="g_Upshot Rev and Var - 200306-v6_Upshot Rev and Var - 200306-v18" xfId="2175"/>
    <cellStyle name="g_Upshot Rev and Var - 200306-v6_Upshot Rev and Var - 200306-v9  FOR lisa" xfId="2176"/>
    <cellStyle name="g_Upshot Rev and Var - 200306-v9  FOR lisa" xfId="2177"/>
    <cellStyle name="g_复件 Instant Report - SZ-Asia AprQBR vs Budget by SC" xfId="2178"/>
    <cellStyle name="g_复件 Instant Report - SZ-Asia AprQBR vs Budget by SC_AMD pricing version 2" xfId="2179"/>
    <cellStyle name="g_复件 Instant Report - SZ-Asia AprQBR vs Budget by SC_CAPEX FY2006_KS_0111" xfId="2180"/>
    <cellStyle name="Green" xfId="2181"/>
    <cellStyle name="Grey" xfId="2182"/>
    <cellStyle name="Header1" xfId="2183"/>
    <cellStyle name="Header2" xfId="2184"/>
    <cellStyle name="Heading" xfId="2185"/>
    <cellStyle name="Headings" xfId="2186"/>
    <cellStyle name="HEADINGSTOP" xfId="2187"/>
    <cellStyle name="Hidden" xfId="2188"/>
    <cellStyle name="Hyperlink 2" xfId="2189"/>
    <cellStyle name="Input [yellow]" xfId="2190"/>
    <cellStyle name="InputBlueFont" xfId="2191"/>
    <cellStyle name="Interstitial" xfId="2192"/>
    <cellStyle name="Link Currency (0)" xfId="2193"/>
    <cellStyle name="Link Currency (2)" xfId="2194"/>
    <cellStyle name="Link Units (0)" xfId="2195"/>
    <cellStyle name="Link Units (1)" xfId="2196"/>
    <cellStyle name="Link Units (2)" xfId="2197"/>
    <cellStyle name="Macro details" xfId="2198"/>
    <cellStyle name="Macro narrative" xfId="2199"/>
    <cellStyle name="Macro_Cell_Name" xfId="2200"/>
    <cellStyle name="MainHead" xfId="2201"/>
    <cellStyle name="Milliers [0]_BINV" xfId="2202"/>
    <cellStyle name="Milliers_AP Aging &amp; Critical Payments" xfId="2203"/>
    <cellStyle name="Millions" xfId="2204"/>
    <cellStyle name="Millions$" xfId="2205"/>
    <cellStyle name="Mon¨¦taire [0]_TARIFFS DB" xfId="2206"/>
    <cellStyle name="Mon¨¦taire_TARIFFS DB" xfId="2207"/>
    <cellStyle name="Monétaire [0]_BINV" xfId="2208"/>
    <cellStyle name="Monétaire_BINV" xfId="2209"/>
    <cellStyle name="Names" xfId="2210"/>
    <cellStyle name="NextGen_July 2001" xfId="2211"/>
    <cellStyle name="no dec" xfId="2212"/>
    <cellStyle name="Normal" xfId="0" builtinId="0"/>
    <cellStyle name="Normal - Style1" xfId="2213"/>
    <cellStyle name="Normal 10" xfId="2214"/>
    <cellStyle name="Normal 11" xfId="2302"/>
    <cellStyle name="Normal 12" xfId="2304"/>
    <cellStyle name="Normal 13" xfId="2306"/>
    <cellStyle name="Normal 14" xfId="2308"/>
    <cellStyle name="Normal 15" xfId="2310"/>
    <cellStyle name="Normal 16" xfId="2312"/>
    <cellStyle name="Normal 17" xfId="2314"/>
    <cellStyle name="Normal 18" xfId="2316"/>
    <cellStyle name="Normal 19" xfId="2318"/>
    <cellStyle name="Normal 2" xfId="2215"/>
    <cellStyle name="Normal 2 2" xfId="2216"/>
    <cellStyle name="Normal 2 3" xfId="2217"/>
    <cellStyle name="Normal 2_MSAR_HP_capex" xfId="2218"/>
    <cellStyle name="Normal 20" xfId="2320"/>
    <cellStyle name="Normal 21" xfId="2322"/>
    <cellStyle name="Normal 22" xfId="2219"/>
    <cellStyle name="Normal 23" xfId="2324"/>
    <cellStyle name="Normal 24" xfId="2326"/>
    <cellStyle name="Normal 25" xfId="2328"/>
    <cellStyle name="Normal 26" xfId="2330"/>
    <cellStyle name="Normal 27" xfId="2332"/>
    <cellStyle name="Normal 28" xfId="2334"/>
    <cellStyle name="Normal 29" xfId="2336"/>
    <cellStyle name="Normal 3" xfId="2220"/>
    <cellStyle name="Normal 3 2" xfId="2221"/>
    <cellStyle name="Normal 30" xfId="2338"/>
    <cellStyle name="Normal 31" xfId="2340"/>
    <cellStyle name="Normal 32" xfId="2342"/>
    <cellStyle name="Normal 33" xfId="2344"/>
    <cellStyle name="Normal 34" xfId="2346"/>
    <cellStyle name="Normal 35" xfId="2348"/>
    <cellStyle name="Normal 36" xfId="2350"/>
    <cellStyle name="Normal 37" xfId="2352"/>
    <cellStyle name="Normal 38" xfId="2354"/>
    <cellStyle name="Normal 39" xfId="2356"/>
    <cellStyle name="Normal 4" xfId="2222"/>
    <cellStyle name="Normal 4 2" xfId="2223"/>
    <cellStyle name="Normal 40" xfId="2358"/>
    <cellStyle name="Normal 41" xfId="2360"/>
    <cellStyle name="Normal 42" xfId="2362"/>
    <cellStyle name="Normal 43" xfId="2364"/>
    <cellStyle name="Normal 44" xfId="2366"/>
    <cellStyle name="Normal 45" xfId="2368"/>
    <cellStyle name="Normal 46" xfId="2370"/>
    <cellStyle name="Normal 47" xfId="2372"/>
    <cellStyle name="Normal 48" xfId="2374"/>
    <cellStyle name="Normal 49" xfId="2376"/>
    <cellStyle name="Normal 5" xfId="2224"/>
    <cellStyle name="Normal 50" xfId="2378"/>
    <cellStyle name="Normal 51" xfId="2380"/>
    <cellStyle name="Normal 52" xfId="2382"/>
    <cellStyle name="Normal 53" xfId="2384"/>
    <cellStyle name="Normal 54" xfId="2386"/>
    <cellStyle name="Normal 55" xfId="2388"/>
    <cellStyle name="Normal 56" xfId="2390"/>
    <cellStyle name="Normal 57" xfId="2392"/>
    <cellStyle name="Normal 58" xfId="2394"/>
    <cellStyle name="Normal 59" xfId="2396"/>
    <cellStyle name="Normal 6" xfId="2225"/>
    <cellStyle name="Normal 60" xfId="2398"/>
    <cellStyle name="Normal 61" xfId="2400"/>
    <cellStyle name="Normal 62" xfId="2402"/>
    <cellStyle name="Normal 63" xfId="2404"/>
    <cellStyle name="Normal 64" xfId="2406"/>
    <cellStyle name="Normal 65" xfId="2408"/>
    <cellStyle name="Normal 66" xfId="2410"/>
    <cellStyle name="Normal 67" xfId="2412"/>
    <cellStyle name="Normal 68" xfId="2414"/>
    <cellStyle name="Normal 69" xfId="2416"/>
    <cellStyle name="Normal 7" xfId="2226"/>
    <cellStyle name="Normal 70" xfId="2418"/>
    <cellStyle name="Normal 71" xfId="2420"/>
    <cellStyle name="Normal 72" xfId="2422"/>
    <cellStyle name="Normal 73" xfId="2424"/>
    <cellStyle name="Normal 74" xfId="2426"/>
    <cellStyle name="Normal 75" xfId="2428"/>
    <cellStyle name="Normal 76" xfId="2430"/>
    <cellStyle name="Normal 77" xfId="2432"/>
    <cellStyle name="Normal 78" xfId="2434"/>
    <cellStyle name="Normal 79" xfId="2436"/>
    <cellStyle name="Normal 8" xfId="2298"/>
    <cellStyle name="Normal 80" xfId="2438"/>
    <cellStyle name="Normal 81" xfId="2440"/>
    <cellStyle name="Normal 82" xfId="2442"/>
    <cellStyle name="Normal 83" xfId="2444"/>
    <cellStyle name="Normal 84" xfId="2446"/>
    <cellStyle name="Normal 85" xfId="2448"/>
    <cellStyle name="Normal 86" xfId="2450"/>
    <cellStyle name="Normal 87" xfId="2452"/>
    <cellStyle name="Normal 88" xfId="2454"/>
    <cellStyle name="Normal 89" xfId="2456"/>
    <cellStyle name="Normal 9" xfId="2300"/>
    <cellStyle name="Normal 90" xfId="2458"/>
    <cellStyle name="Normal 91" xfId="2460"/>
    <cellStyle name="Normal 92" xfId="2462"/>
    <cellStyle name="Normal 93" xfId="2464"/>
    <cellStyle name="Normal_4PL Project Summary_7_12_07" xfId="3"/>
    <cellStyle name="Normal_Binatone Dashboard 20090518" xfId="1"/>
    <cellStyle name="Normál_Further steps" xfId="2227"/>
    <cellStyle name="Ongedefinieerd" xfId="2228"/>
    <cellStyle name="paint" xfId="2229"/>
    <cellStyle name="per.style" xfId="2230"/>
    <cellStyle name="Percent (0)" xfId="2231"/>
    <cellStyle name="Percent [0]" xfId="2232"/>
    <cellStyle name="Percent [00]" xfId="2233"/>
    <cellStyle name="Percent [2]" xfId="2234"/>
    <cellStyle name="Percent 10" xfId="2309"/>
    <cellStyle name="Percent 11" xfId="2311"/>
    <cellStyle name="Percent 12" xfId="2313"/>
    <cellStyle name="Percent 13" xfId="2315"/>
    <cellStyle name="Percent 14" xfId="2317"/>
    <cellStyle name="Percent 15" xfId="2319"/>
    <cellStyle name="Percent 16" xfId="2321"/>
    <cellStyle name="Percent 17" xfId="2323"/>
    <cellStyle name="Percent 18" xfId="2325"/>
    <cellStyle name="Percent 19" xfId="2327"/>
    <cellStyle name="Percent 2" xfId="2235"/>
    <cellStyle name="Percent 2 10" xfId="2236"/>
    <cellStyle name="Percent 2 2" xfId="2"/>
    <cellStyle name="Percent 20" xfId="2329"/>
    <cellStyle name="Percent 21" xfId="2331"/>
    <cellStyle name="Percent 22" xfId="2333"/>
    <cellStyle name="Percent 23" xfId="2335"/>
    <cellStyle name="Percent 24" xfId="2337"/>
    <cellStyle name="Percent 25" xfId="2339"/>
    <cellStyle name="Percent 26" xfId="2341"/>
    <cellStyle name="Percent 27" xfId="2343"/>
    <cellStyle name="Percent 28" xfId="2345"/>
    <cellStyle name="Percent 29" xfId="2347"/>
    <cellStyle name="Percent 3" xfId="2237"/>
    <cellStyle name="Percent 3 2" xfId="2238"/>
    <cellStyle name="Percent 30" xfId="2349"/>
    <cellStyle name="Percent 31" xfId="2351"/>
    <cellStyle name="Percent 32" xfId="2353"/>
    <cellStyle name="Percent 33" xfId="2355"/>
    <cellStyle name="Percent 34" xfId="2357"/>
    <cellStyle name="Percent 35" xfId="2359"/>
    <cellStyle name="Percent 36" xfId="2361"/>
    <cellStyle name="Percent 37" xfId="2363"/>
    <cellStyle name="Percent 38" xfId="2365"/>
    <cellStyle name="Percent 39" xfId="2367"/>
    <cellStyle name="Percent 4" xfId="2239"/>
    <cellStyle name="Percent 40" xfId="2369"/>
    <cellStyle name="Percent 41" xfId="2371"/>
    <cellStyle name="Percent 42" xfId="2373"/>
    <cellStyle name="Percent 43" xfId="2375"/>
    <cellStyle name="Percent 44" xfId="2377"/>
    <cellStyle name="Percent 45" xfId="2379"/>
    <cellStyle name="Percent 46" xfId="2381"/>
    <cellStyle name="Percent 47" xfId="2383"/>
    <cellStyle name="Percent 48" xfId="2385"/>
    <cellStyle name="Percent 49" xfId="2387"/>
    <cellStyle name="Percent 5" xfId="2299"/>
    <cellStyle name="Percent 50" xfId="2389"/>
    <cellStyle name="Percent 51" xfId="2391"/>
    <cellStyle name="Percent 52" xfId="2393"/>
    <cellStyle name="Percent 53" xfId="2395"/>
    <cellStyle name="Percent 54" xfId="2397"/>
    <cellStyle name="Percent 55" xfId="2399"/>
    <cellStyle name="Percent 56" xfId="2401"/>
    <cellStyle name="Percent 57" xfId="2403"/>
    <cellStyle name="Percent 58" xfId="2405"/>
    <cellStyle name="Percent 59" xfId="2407"/>
    <cellStyle name="Percent 6" xfId="2301"/>
    <cellStyle name="Percent 60" xfId="2409"/>
    <cellStyle name="Percent 61" xfId="2411"/>
    <cellStyle name="Percent 62" xfId="2413"/>
    <cellStyle name="Percent 63" xfId="2415"/>
    <cellStyle name="Percent 64" xfId="2417"/>
    <cellStyle name="Percent 65" xfId="2419"/>
    <cellStyle name="Percent 66" xfId="2421"/>
    <cellStyle name="Percent 67" xfId="2423"/>
    <cellStyle name="Percent 68" xfId="2425"/>
    <cellStyle name="Percent 69" xfId="2427"/>
    <cellStyle name="Percent 7" xfId="2303"/>
    <cellStyle name="Percent 70" xfId="2429"/>
    <cellStyle name="Percent 71" xfId="2431"/>
    <cellStyle name="Percent 72" xfId="2433"/>
    <cellStyle name="Percent 73" xfId="2435"/>
    <cellStyle name="Percent 74" xfId="2437"/>
    <cellStyle name="Percent 75" xfId="2439"/>
    <cellStyle name="Percent 76" xfId="2441"/>
    <cellStyle name="Percent 77" xfId="2443"/>
    <cellStyle name="Percent 78" xfId="2445"/>
    <cellStyle name="Percent 79" xfId="2447"/>
    <cellStyle name="Percent 8" xfId="2305"/>
    <cellStyle name="Percent 80" xfId="2449"/>
    <cellStyle name="Percent 81" xfId="2451"/>
    <cellStyle name="Percent 82" xfId="2453"/>
    <cellStyle name="Percent 83" xfId="2455"/>
    <cellStyle name="Percent 84" xfId="2457"/>
    <cellStyle name="Percent 85" xfId="2459"/>
    <cellStyle name="Percent 86" xfId="2461"/>
    <cellStyle name="Percent 87" xfId="2463"/>
    <cellStyle name="Percent 88" xfId="2465"/>
    <cellStyle name="Percent 9" xfId="2307"/>
    <cellStyle name="PleaseNote" xfId="2240"/>
    <cellStyle name="PostIt" xfId="2241"/>
    <cellStyle name="PrePop Currency (0)" xfId="2242"/>
    <cellStyle name="PrePop Currency (2)" xfId="2243"/>
    <cellStyle name="PrePop Units (0)" xfId="2244"/>
    <cellStyle name="PrePop Units (1)" xfId="2245"/>
    <cellStyle name="PrePop Units (2)" xfId="2246"/>
    <cellStyle name="pricing" xfId="2247"/>
    <cellStyle name="Processing" xfId="2248"/>
    <cellStyle name="PSChar" xfId="2249"/>
    <cellStyle name="PSHeading" xfId="2250"/>
    <cellStyle name="regstoresfromspecstores" xfId="2251"/>
    <cellStyle name="RevList" xfId="2252"/>
    <cellStyle name="s_Valuation " xfId="2253"/>
    <cellStyle name="SHADEDSTORES" xfId="2254"/>
    <cellStyle name="Sheet Title" xfId="2255"/>
    <cellStyle name="specstores" xfId="2256"/>
    <cellStyle name="ssp " xfId="2257"/>
    <cellStyle name="Standaard_659732 September 2005 " xfId="2258"/>
    <cellStyle name="Standard 2" xfId="2259"/>
    <cellStyle name="Standard_040830_Blue_Business Plan v3_HI" xfId="2260"/>
    <cellStyle name="Style 1" xfId="2261"/>
    <cellStyle name="Style 2" xfId="2262"/>
    <cellStyle name="SubTotal" xfId="2263"/>
    <cellStyle name="t" xfId="2264"/>
    <cellStyle name="t_MSAR_HP_capex" xfId="2265"/>
    <cellStyle name="t_Sony PL BRNO June 2009 - V1" xfId="2266"/>
    <cellStyle name="Text Indent A" xfId="2267"/>
    <cellStyle name="Text Indent B" xfId="2268"/>
    <cellStyle name="Text Indent C" xfId="2269"/>
    <cellStyle name="Thousands" xfId="2270"/>
    <cellStyle name="Tick" xfId="2271"/>
    <cellStyle name="Tickmark" xfId="2272"/>
    <cellStyle name="Unprotect" xfId="2273"/>
    <cellStyle name="똿뗦먛귟 [0.00]_PRODUCT DETAIL Q1" xfId="2274"/>
    <cellStyle name="똿뗦먛귟_PRODUCT DETAIL Q1" xfId="2275"/>
    <cellStyle name="믅됞 [0.00]_PRODUCT DETAIL Q1" xfId="2276"/>
    <cellStyle name="믅됞_PRODUCT DETAIL Q1" xfId="2277"/>
    <cellStyle name="백분율_HOBONG" xfId="2278"/>
    <cellStyle name="뷭?_BOOKSHIP" xfId="2279"/>
    <cellStyle name="콤마 [0]_1202" xfId="2280"/>
    <cellStyle name="콤마_1202" xfId="2281"/>
    <cellStyle name="통화 [0]_1202" xfId="2282"/>
    <cellStyle name="통화_1202" xfId="2283"/>
    <cellStyle name="표준_(정보부문)월별인원계획" xfId="2284"/>
    <cellStyle name="一般_~ME00191" xfId="2285"/>
    <cellStyle name="千位分隔[0]_Book1" xfId="2286"/>
    <cellStyle name="千位分隔_Book1" xfId="2287"/>
    <cellStyle name="千分位[0]_~ME00191" xfId="2288"/>
    <cellStyle name="千分位_~ME00191" xfId="2289"/>
    <cellStyle name="常规_11-21-00 Daily Shipments Report" xfId="2290"/>
    <cellStyle name="標準_Japan" xfId="2291"/>
    <cellStyle name="貨幣 [0]_~ME00191" xfId="2292"/>
    <cellStyle name="貨幣_~ME00191" xfId="2293"/>
    <cellStyle name="货币[0]_11-21-00 Daily Shipments Report" xfId="2294"/>
    <cellStyle name="货币_11-21-00 Daily Shipments Report" xfId="2295"/>
    <cellStyle name="超連結_Book1" xfId="2296"/>
    <cellStyle name="隨後的超連結_Book1" xfId="2297"/>
  </cellStyles>
  <dxfs count="42"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CC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142875</xdr:rowOff>
        </xdr:from>
        <xdr:to>
          <xdr:col>4</xdr:col>
          <xdr:colOff>533400</xdr:colOff>
          <xdr:row>5</xdr:row>
          <xdr:rowOff>180975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3</xdr:row>
      <xdr:rowOff>9525</xdr:rowOff>
    </xdr:from>
    <xdr:to>
      <xdr:col>4</xdr:col>
      <xdr:colOff>438150</xdr:colOff>
      <xdr:row>6</xdr:row>
      <xdr:rowOff>85725</xdr:rowOff>
    </xdr:to>
    <xdr:pic>
      <xdr:nvPicPr>
        <xdr:cNvPr id="2" name="Picture 3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581025"/>
          <a:ext cx="2171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FQC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**00"/>
      <sheetName val="**01"/>
      <sheetName val="A線"/>
      <sheetName val="B線"/>
      <sheetName val="C線"/>
      <sheetName val="D線"/>
      <sheetName val="E線"/>
      <sheetName val="F線"/>
      <sheetName val="G線"/>
      <sheetName val="H線"/>
      <sheetName val="MA MI "/>
      <sheetName val="PO#'s Placed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filterMode="1"/>
  <dimension ref="A1:BA201"/>
  <sheetViews>
    <sheetView showGridLines="0" zoomScaleNormal="100" workbookViewId="0">
      <pane ySplit="1" topLeftCell="A2" activePane="bottomLeft" state="frozen"/>
      <selection pane="bottomLeft" activeCell="A5" sqref="A5"/>
    </sheetView>
  </sheetViews>
  <sheetFormatPr defaultRowHeight="23.25"/>
  <cols>
    <col min="1" max="1" width="38" style="30" customWidth="1"/>
    <col min="2" max="2" width="15.42578125" style="36" customWidth="1"/>
    <col min="3" max="3" width="22.140625" style="31" bestFit="1" customWidth="1"/>
    <col min="4" max="4" width="12.42578125" style="31" customWidth="1"/>
    <col min="5" max="5" width="11.5703125" style="32" customWidth="1"/>
    <col min="6" max="6" width="10.28515625" style="31" bestFit="1" customWidth="1"/>
    <col min="7" max="7" width="4.28515625" style="5" customWidth="1"/>
    <col min="8" max="8" width="9.85546875" style="33" customWidth="1"/>
    <col min="9" max="9" width="10.42578125" style="33" customWidth="1"/>
    <col min="10" max="11" width="9.140625" style="33"/>
    <col min="12" max="14" width="37" style="30" customWidth="1"/>
    <col min="15" max="15" width="31.7109375" style="30" customWidth="1"/>
    <col min="16" max="16" width="31.7109375" style="34" hidden="1" customWidth="1"/>
    <col min="17" max="17" width="9.140625" style="34"/>
    <col min="18" max="18" width="28.28515625" style="35" customWidth="1"/>
    <col min="19" max="19" width="10" style="32" customWidth="1"/>
    <col min="20" max="44" width="9.140625" style="7"/>
    <col min="45" max="16384" width="9.140625" style="3"/>
  </cols>
  <sheetData>
    <row r="1" spans="1:53" ht="24" thickBot="1">
      <c r="A1" s="9" t="s">
        <v>48</v>
      </c>
      <c r="B1" s="9" t="s">
        <v>0</v>
      </c>
      <c r="C1" s="10" t="s">
        <v>46</v>
      </c>
      <c r="D1" s="10" t="s">
        <v>30</v>
      </c>
      <c r="E1" s="11" t="s">
        <v>8</v>
      </c>
      <c r="F1" s="10" t="s">
        <v>67</v>
      </c>
      <c r="G1" s="1"/>
      <c r="H1" s="9" t="s">
        <v>9</v>
      </c>
      <c r="I1" s="9" t="s">
        <v>10</v>
      </c>
      <c r="J1" s="9" t="s">
        <v>12</v>
      </c>
      <c r="K1" s="9" t="s">
        <v>29</v>
      </c>
      <c r="L1" s="9" t="s">
        <v>7</v>
      </c>
      <c r="M1" s="9" t="s">
        <v>37</v>
      </c>
      <c r="N1" s="9" t="s">
        <v>6</v>
      </c>
      <c r="O1" s="9" t="s">
        <v>5</v>
      </c>
      <c r="P1" s="9" t="s">
        <v>2</v>
      </c>
      <c r="Q1" s="12" t="s">
        <v>3</v>
      </c>
      <c r="R1" s="12" t="s">
        <v>18</v>
      </c>
      <c r="S1" s="11" t="s">
        <v>1</v>
      </c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2"/>
      <c r="AT1" s="2"/>
      <c r="AU1" s="2"/>
      <c r="AV1" s="2"/>
      <c r="AW1" s="2"/>
      <c r="AX1" s="2"/>
      <c r="AY1" s="2"/>
      <c r="AZ1" s="2"/>
      <c r="BA1" s="2"/>
    </row>
    <row r="2" spans="1:53" hidden="1">
      <c r="A2" s="13" t="s">
        <v>25</v>
      </c>
      <c r="B2" s="21" t="s">
        <v>13</v>
      </c>
      <c r="C2" s="16"/>
      <c r="D2" s="21" t="s">
        <v>23</v>
      </c>
      <c r="E2" s="15">
        <v>42370</v>
      </c>
      <c r="F2" s="17">
        <f t="shared" ref="F2:F4" ca="1" si="0">G2</f>
        <v>-229</v>
      </c>
      <c r="G2" s="4">
        <f t="shared" ref="G2:G4" ca="1" si="1">E2-TODAY()</f>
        <v>-229</v>
      </c>
      <c r="H2" s="18" t="s">
        <v>11</v>
      </c>
      <c r="I2" s="18"/>
      <c r="J2" s="19">
        <v>60</v>
      </c>
      <c r="K2" s="19"/>
      <c r="L2" s="20" t="s">
        <v>26</v>
      </c>
      <c r="M2" s="23"/>
      <c r="N2" s="22"/>
      <c r="O2" s="13"/>
      <c r="P2" s="13"/>
      <c r="Q2" s="13"/>
      <c r="R2" s="13"/>
      <c r="S2" s="16">
        <v>42262</v>
      </c>
    </row>
    <row r="3" spans="1:53" ht="33.75" hidden="1">
      <c r="A3" s="13" t="s">
        <v>20</v>
      </c>
      <c r="B3" s="21" t="s">
        <v>13</v>
      </c>
      <c r="C3" s="16"/>
      <c r="D3" s="21" t="s">
        <v>23</v>
      </c>
      <c r="E3" s="15">
        <v>42370</v>
      </c>
      <c r="F3" s="17">
        <f t="shared" ca="1" si="0"/>
        <v>-229</v>
      </c>
      <c r="G3" s="4">
        <f t="shared" ca="1" si="1"/>
        <v>-229</v>
      </c>
      <c r="H3" s="18" t="s">
        <v>11</v>
      </c>
      <c r="I3" s="18"/>
      <c r="J3" s="19">
        <v>50</v>
      </c>
      <c r="K3" s="19"/>
      <c r="L3" s="20" t="s">
        <v>27</v>
      </c>
      <c r="M3" s="28"/>
      <c r="N3" s="24" t="s">
        <v>28</v>
      </c>
      <c r="O3" s="22"/>
      <c r="P3" s="13"/>
      <c r="Q3" s="13"/>
      <c r="R3" s="13"/>
      <c r="S3" s="16">
        <v>42229</v>
      </c>
      <c r="T3" s="8"/>
      <c r="U3" s="8"/>
      <c r="V3" s="8"/>
      <c r="W3" s="8"/>
      <c r="X3" s="8"/>
      <c r="Y3" s="8"/>
      <c r="Z3" s="8"/>
    </row>
    <row r="4" spans="1:53" hidden="1">
      <c r="A4" s="100" t="s">
        <v>21</v>
      </c>
      <c r="B4" s="101" t="s">
        <v>17</v>
      </c>
      <c r="C4" s="102"/>
      <c r="D4" s="101" t="s">
        <v>22</v>
      </c>
      <c r="E4" s="103">
        <v>42370</v>
      </c>
      <c r="F4" s="104">
        <f t="shared" ca="1" si="0"/>
        <v>-229</v>
      </c>
      <c r="G4" s="105">
        <f t="shared" ca="1" si="1"/>
        <v>-229</v>
      </c>
      <c r="H4" s="106" t="s">
        <v>24</v>
      </c>
      <c r="I4" s="106"/>
      <c r="J4" s="107">
        <v>0</v>
      </c>
      <c r="K4" s="107"/>
      <c r="L4" s="108"/>
      <c r="M4" s="109"/>
      <c r="N4" s="110"/>
      <c r="O4" s="100"/>
      <c r="P4" s="13"/>
      <c r="Q4" s="100"/>
      <c r="R4" s="100"/>
      <c r="S4" s="102">
        <v>42236</v>
      </c>
    </row>
    <row r="5" spans="1:53">
      <c r="A5" s="111" t="s">
        <v>76</v>
      </c>
      <c r="B5" s="112" t="s">
        <v>17</v>
      </c>
      <c r="C5" s="114" t="s">
        <v>52</v>
      </c>
      <c r="D5" s="113" t="s">
        <v>36</v>
      </c>
      <c r="E5" s="114">
        <v>42595</v>
      </c>
      <c r="F5" s="114">
        <f t="shared" ref="F5:F28" ca="1" si="2">IF(J5=100, IF($F5="", NOW(), $F5), "")</f>
        <v>42597.89004027778</v>
      </c>
      <c r="G5" s="115">
        <f t="shared" ref="G5:G11" ca="1" si="3">E5-TODAY()</f>
        <v>-4</v>
      </c>
      <c r="H5" s="116" t="s">
        <v>43</v>
      </c>
      <c r="I5" s="116" t="s">
        <v>41</v>
      </c>
      <c r="J5" s="117">
        <v>100</v>
      </c>
      <c r="K5" s="117"/>
      <c r="L5" s="118"/>
      <c r="M5" s="119"/>
      <c r="N5" s="153"/>
      <c r="O5" s="120"/>
      <c r="P5" s="99"/>
      <c r="Q5" s="142"/>
      <c r="R5" s="143"/>
      <c r="S5" s="144">
        <f ca="1">IF(A5&lt;&gt;"", IF(S5="", NOW(), S5), "")</f>
        <v>42588.502854398146</v>
      </c>
    </row>
    <row r="6" spans="1:53">
      <c r="A6" s="121" t="s">
        <v>42</v>
      </c>
      <c r="B6" s="14" t="s">
        <v>17</v>
      </c>
      <c r="C6" s="15" t="s">
        <v>52</v>
      </c>
      <c r="D6" s="21" t="s">
        <v>35</v>
      </c>
      <c r="E6" s="16">
        <v>42595</v>
      </c>
      <c r="F6" s="15">
        <f t="shared" ca="1" si="2"/>
        <v>42597.89004027778</v>
      </c>
      <c r="G6" s="4">
        <f t="shared" ca="1" si="3"/>
        <v>-4</v>
      </c>
      <c r="H6" s="18" t="s">
        <v>43</v>
      </c>
      <c r="I6" s="18"/>
      <c r="J6" s="19">
        <v>100</v>
      </c>
      <c r="K6" s="19"/>
      <c r="L6" s="20"/>
      <c r="M6" s="39"/>
      <c r="N6" s="27"/>
      <c r="O6" s="124"/>
      <c r="P6" s="99"/>
      <c r="Q6" s="145"/>
      <c r="R6" s="13"/>
      <c r="S6" s="74">
        <f t="shared" ref="S6:S13" ca="1" si="4">IF(A6&lt;&gt;"", IF(S6="", NOW(), S6), "")</f>
        <v>42588.508740393518</v>
      </c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</row>
    <row r="7" spans="1:53">
      <c r="A7" s="121" t="s">
        <v>75</v>
      </c>
      <c r="B7" s="14" t="s">
        <v>17</v>
      </c>
      <c r="C7" s="15" t="s">
        <v>52</v>
      </c>
      <c r="D7" s="21" t="s">
        <v>35</v>
      </c>
      <c r="E7" s="16">
        <v>42595</v>
      </c>
      <c r="F7" s="15">
        <f t="shared" ca="1" si="2"/>
        <v>42597.89004027778</v>
      </c>
      <c r="G7" s="4">
        <f t="shared" ca="1" si="3"/>
        <v>-4</v>
      </c>
      <c r="H7" s="18" t="s">
        <v>41</v>
      </c>
      <c r="I7" s="18"/>
      <c r="J7" s="19">
        <v>100</v>
      </c>
      <c r="K7" s="19"/>
      <c r="L7" s="20" t="s">
        <v>44</v>
      </c>
      <c r="M7" s="39"/>
      <c r="N7" s="13"/>
      <c r="O7" s="123"/>
      <c r="P7" s="99"/>
      <c r="Q7" s="145"/>
      <c r="R7" s="13"/>
      <c r="S7" s="74">
        <f t="shared" ca="1" si="4"/>
        <v>42588.549532175923</v>
      </c>
      <c r="T7" s="8"/>
      <c r="U7" s="8"/>
      <c r="V7" s="8"/>
      <c r="W7" s="8"/>
      <c r="X7" s="8"/>
      <c r="Y7" s="8"/>
      <c r="Z7" s="8"/>
    </row>
    <row r="8" spans="1:53" ht="36">
      <c r="A8" s="121" t="s">
        <v>90</v>
      </c>
      <c r="B8" s="14" t="s">
        <v>17</v>
      </c>
      <c r="C8" s="15" t="s">
        <v>52</v>
      </c>
      <c r="D8" s="21" t="s">
        <v>35</v>
      </c>
      <c r="E8" s="16" t="s">
        <v>89</v>
      </c>
      <c r="F8" s="15" t="str">
        <f t="shared" ca="1" si="2"/>
        <v/>
      </c>
      <c r="G8" s="4" t="e">
        <f t="shared" ca="1" si="3"/>
        <v>#VALUE!</v>
      </c>
      <c r="H8" s="18" t="s">
        <v>41</v>
      </c>
      <c r="I8" s="18"/>
      <c r="J8" s="19">
        <v>0</v>
      </c>
      <c r="K8" s="19"/>
      <c r="L8" s="39"/>
      <c r="M8" s="20"/>
      <c r="N8" s="27"/>
      <c r="O8" s="122"/>
      <c r="P8" s="154"/>
      <c r="Q8" s="145"/>
      <c r="R8" s="13"/>
      <c r="S8" s="74">
        <f t="shared" ca="1" si="4"/>
        <v>42588.549536458333</v>
      </c>
    </row>
    <row r="9" spans="1:53">
      <c r="A9" s="121" t="s">
        <v>77</v>
      </c>
      <c r="B9" s="14" t="s">
        <v>17</v>
      </c>
      <c r="C9" s="15" t="s">
        <v>52</v>
      </c>
      <c r="D9" s="21" t="s">
        <v>35</v>
      </c>
      <c r="E9" s="16" t="s">
        <v>72</v>
      </c>
      <c r="F9" s="15" t="str">
        <f t="shared" ca="1" si="2"/>
        <v/>
      </c>
      <c r="G9" s="4" t="e">
        <f t="shared" ca="1" si="3"/>
        <v>#VALUE!</v>
      </c>
      <c r="H9" s="18" t="s">
        <v>41</v>
      </c>
      <c r="I9" s="18"/>
      <c r="J9" s="19">
        <v>0</v>
      </c>
      <c r="K9" s="19"/>
      <c r="L9" s="20"/>
      <c r="M9" s="20"/>
      <c r="N9" s="27"/>
      <c r="O9" s="122"/>
      <c r="P9" s="154"/>
      <c r="Q9" s="145"/>
      <c r="R9" s="13"/>
      <c r="S9" s="74">
        <f t="shared" ca="1" si="4"/>
        <v>42588.534528124997</v>
      </c>
    </row>
    <row r="10" spans="1:53" ht="36">
      <c r="A10" s="121" t="s">
        <v>82</v>
      </c>
      <c r="B10" s="14" t="s">
        <v>17</v>
      </c>
      <c r="C10" s="15" t="s">
        <v>80</v>
      </c>
      <c r="D10" s="21" t="s">
        <v>35</v>
      </c>
      <c r="E10" s="16" t="s">
        <v>72</v>
      </c>
      <c r="F10" s="15">
        <f t="shared" ca="1" si="2"/>
        <v>42597.89004027778</v>
      </c>
      <c r="G10" s="4" t="e">
        <f t="shared" ca="1" si="3"/>
        <v>#VALUE!</v>
      </c>
      <c r="H10" s="18" t="s">
        <v>43</v>
      </c>
      <c r="I10" s="18"/>
      <c r="J10" s="19">
        <v>100</v>
      </c>
      <c r="K10" s="19"/>
      <c r="L10" s="20"/>
      <c r="M10" s="20"/>
      <c r="N10" s="27"/>
      <c r="O10" s="122"/>
      <c r="P10" s="154"/>
      <c r="Q10" s="145"/>
      <c r="R10" s="13"/>
      <c r="S10" s="74">
        <f t="shared" ca="1" si="4"/>
        <v>42588.536868171293</v>
      </c>
    </row>
    <row r="11" spans="1:53">
      <c r="A11" s="121" t="s">
        <v>83</v>
      </c>
      <c r="B11" s="14" t="s">
        <v>15</v>
      </c>
      <c r="C11" s="15" t="s">
        <v>80</v>
      </c>
      <c r="D11" s="21" t="s">
        <v>35</v>
      </c>
      <c r="E11" s="16" t="s">
        <v>72</v>
      </c>
      <c r="F11" s="15">
        <f t="shared" ca="1" si="2"/>
        <v>42597.89004027778</v>
      </c>
      <c r="G11" s="4" t="e">
        <f t="shared" ca="1" si="3"/>
        <v>#VALUE!</v>
      </c>
      <c r="H11" s="18" t="s">
        <v>43</v>
      </c>
      <c r="I11" s="18"/>
      <c r="J11" s="19">
        <v>100</v>
      </c>
      <c r="K11" s="19"/>
      <c r="L11" s="20"/>
      <c r="M11" s="20"/>
      <c r="N11" s="27"/>
      <c r="O11" s="122"/>
      <c r="P11" s="154"/>
      <c r="Q11" s="145"/>
      <c r="R11" s="13"/>
      <c r="S11" s="74">
        <f t="shared" ca="1" si="4"/>
        <v>42588.537309490741</v>
      </c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</row>
    <row r="12" spans="1:53" ht="36">
      <c r="A12" s="121" t="s">
        <v>95</v>
      </c>
      <c r="B12" s="14" t="s">
        <v>15</v>
      </c>
      <c r="C12" s="15" t="s">
        <v>80</v>
      </c>
      <c r="D12" s="21" t="s">
        <v>35</v>
      </c>
      <c r="E12" s="16">
        <v>42598</v>
      </c>
      <c r="F12" s="15">
        <f t="shared" ca="1" si="2"/>
        <v>42598.856950578702</v>
      </c>
      <c r="G12" s="4"/>
      <c r="H12" s="18" t="s">
        <v>43</v>
      </c>
      <c r="I12" s="18"/>
      <c r="J12" s="19">
        <v>100</v>
      </c>
      <c r="K12" s="19"/>
      <c r="L12" s="20"/>
      <c r="M12" s="20"/>
      <c r="N12" s="27"/>
      <c r="O12" s="122" t="s">
        <v>96</v>
      </c>
      <c r="P12" s="154"/>
      <c r="Q12" s="145"/>
      <c r="R12" s="13"/>
      <c r="S12" s="74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</row>
    <row r="13" spans="1:53">
      <c r="A13" s="121" t="s">
        <v>84</v>
      </c>
      <c r="B13" s="14" t="s">
        <v>13</v>
      </c>
      <c r="C13" s="15" t="s">
        <v>80</v>
      </c>
      <c r="D13" s="21" t="s">
        <v>35</v>
      </c>
      <c r="E13" s="16" t="s">
        <v>72</v>
      </c>
      <c r="F13" s="15" t="str">
        <f t="shared" ca="1" si="2"/>
        <v/>
      </c>
      <c r="G13" s="4" t="e">
        <f t="shared" ref="G13:G28" ca="1" si="5">E13-TODAY()</f>
        <v>#VALUE!</v>
      </c>
      <c r="H13" s="18" t="s">
        <v>43</v>
      </c>
      <c r="I13" s="18"/>
      <c r="J13" s="19">
        <v>50</v>
      </c>
      <c r="K13" s="19"/>
      <c r="L13" s="20" t="s">
        <v>97</v>
      </c>
      <c r="M13" s="20"/>
      <c r="N13" s="27" t="s">
        <v>98</v>
      </c>
      <c r="O13" s="122"/>
      <c r="P13" s="99"/>
      <c r="Q13" s="145"/>
      <c r="R13" s="13"/>
      <c r="S13" s="74">
        <f t="shared" ca="1" si="4"/>
        <v>42588.53843310185</v>
      </c>
    </row>
    <row r="14" spans="1:53" ht="36">
      <c r="A14" s="121" t="s">
        <v>85</v>
      </c>
      <c r="B14" s="14" t="s">
        <v>17</v>
      </c>
      <c r="C14" s="15" t="s">
        <v>80</v>
      </c>
      <c r="D14" s="21" t="s">
        <v>35</v>
      </c>
      <c r="E14" s="16" t="s">
        <v>72</v>
      </c>
      <c r="F14" s="15" t="str">
        <f t="shared" ca="1" si="2"/>
        <v/>
      </c>
      <c r="G14" s="4" t="e">
        <f t="shared" ca="1" si="5"/>
        <v>#VALUE!</v>
      </c>
      <c r="H14" s="18" t="s">
        <v>43</v>
      </c>
      <c r="I14" s="18"/>
      <c r="J14" s="19">
        <v>0</v>
      </c>
      <c r="K14" s="19"/>
      <c r="L14" s="20"/>
      <c r="M14" s="20"/>
      <c r="N14" s="27"/>
      <c r="O14" s="122"/>
      <c r="P14" s="99"/>
      <c r="Q14" s="145"/>
      <c r="R14" s="13"/>
      <c r="S14" s="74">
        <f t="shared" ref="S14:S15" ca="1" si="6">IF(A14&lt;&gt;"", IF(S14="", NOW(), S14), "")</f>
        <v>42588.553657523145</v>
      </c>
    </row>
    <row r="15" spans="1:53" ht="45">
      <c r="A15" s="121" t="s">
        <v>86</v>
      </c>
      <c r="B15" s="14" t="s">
        <v>15</v>
      </c>
      <c r="C15" s="15" t="s">
        <v>80</v>
      </c>
      <c r="D15" s="21" t="s">
        <v>35</v>
      </c>
      <c r="E15" s="16" t="s">
        <v>72</v>
      </c>
      <c r="F15" s="15">
        <f t="shared" ca="1" si="2"/>
        <v>42597.89004027778</v>
      </c>
      <c r="G15" s="4" t="e">
        <f t="shared" ca="1" si="5"/>
        <v>#VALUE!</v>
      </c>
      <c r="H15" s="18" t="s">
        <v>43</v>
      </c>
      <c r="I15" s="18"/>
      <c r="J15" s="19">
        <v>100</v>
      </c>
      <c r="K15" s="19"/>
      <c r="L15" s="20"/>
      <c r="M15" s="20"/>
      <c r="N15" s="27"/>
      <c r="O15" s="122" t="s">
        <v>91</v>
      </c>
      <c r="P15" s="99"/>
      <c r="Q15" s="145"/>
      <c r="R15" s="13"/>
      <c r="S15" s="74">
        <f t="shared" ca="1" si="6"/>
        <v>42588.556723379632</v>
      </c>
    </row>
    <row r="16" spans="1:53" ht="36">
      <c r="A16" s="121" t="s">
        <v>92</v>
      </c>
      <c r="B16" s="14" t="s">
        <v>16</v>
      </c>
      <c r="C16" s="15" t="s">
        <v>80</v>
      </c>
      <c r="D16" s="21" t="s">
        <v>34</v>
      </c>
      <c r="E16" s="16" t="s">
        <v>93</v>
      </c>
      <c r="F16" s="15" t="str">
        <f t="shared" ca="1" si="2"/>
        <v/>
      </c>
      <c r="G16" s="4" t="e">
        <f t="shared" ca="1" si="5"/>
        <v>#VALUE!</v>
      </c>
      <c r="H16" s="18" t="s">
        <v>43</v>
      </c>
      <c r="I16" s="18"/>
      <c r="J16" s="19">
        <v>0</v>
      </c>
      <c r="K16" s="19"/>
      <c r="L16" s="20"/>
      <c r="M16" s="39"/>
      <c r="N16" s="13"/>
      <c r="O16" s="123"/>
      <c r="P16" s="99"/>
      <c r="Q16" s="145"/>
      <c r="R16" s="13"/>
      <c r="S16" s="146"/>
    </row>
    <row r="17" spans="1:44">
      <c r="A17" s="121" t="s">
        <v>81</v>
      </c>
      <c r="B17" s="14" t="s">
        <v>17</v>
      </c>
      <c r="C17" s="15" t="s">
        <v>80</v>
      </c>
      <c r="D17" s="21" t="s">
        <v>34</v>
      </c>
      <c r="E17" s="16" t="s">
        <v>74</v>
      </c>
      <c r="F17" s="15" t="str">
        <f t="shared" ca="1" si="2"/>
        <v/>
      </c>
      <c r="G17" s="4" t="e">
        <f t="shared" ca="1" si="5"/>
        <v>#VALUE!</v>
      </c>
      <c r="H17" s="18" t="s">
        <v>43</v>
      </c>
      <c r="I17" s="18"/>
      <c r="J17" s="19">
        <v>0</v>
      </c>
      <c r="K17" s="19"/>
      <c r="L17" s="20"/>
      <c r="M17" s="20"/>
      <c r="N17" s="27"/>
      <c r="O17" s="122"/>
      <c r="P17" s="154"/>
      <c r="Q17" s="145"/>
      <c r="R17" s="13"/>
      <c r="S17" s="146"/>
    </row>
    <row r="18" spans="1:44" ht="43.5" customHeight="1">
      <c r="A18" s="121" t="s">
        <v>49</v>
      </c>
      <c r="B18" s="21" t="s">
        <v>17</v>
      </c>
      <c r="C18" s="16" t="s">
        <v>53</v>
      </c>
      <c r="D18" s="16" t="s">
        <v>36</v>
      </c>
      <c r="E18" s="15">
        <v>42595</v>
      </c>
      <c r="F18" s="15" t="str">
        <f t="shared" ca="1" si="2"/>
        <v/>
      </c>
      <c r="G18" s="4">
        <f t="shared" ca="1" si="5"/>
        <v>-4</v>
      </c>
      <c r="H18" s="21" t="s">
        <v>41</v>
      </c>
      <c r="I18" s="21" t="s">
        <v>43</v>
      </c>
      <c r="J18" s="19">
        <v>0</v>
      </c>
      <c r="K18" s="19"/>
      <c r="L18" s="20"/>
      <c r="M18" s="39"/>
      <c r="N18" s="13"/>
      <c r="O18" s="123"/>
      <c r="P18" s="24"/>
      <c r="Q18" s="145"/>
      <c r="R18" s="13"/>
      <c r="S18" s="146"/>
    </row>
    <row r="19" spans="1:44">
      <c r="A19" s="125" t="s">
        <v>47</v>
      </c>
      <c r="B19" s="14" t="s">
        <v>16</v>
      </c>
      <c r="C19" s="15" t="s">
        <v>53</v>
      </c>
      <c r="D19" s="26" t="s">
        <v>33</v>
      </c>
      <c r="E19" s="16"/>
      <c r="F19" s="15" t="str">
        <f t="shared" ca="1" si="2"/>
        <v/>
      </c>
      <c r="G19" s="4">
        <f t="shared" ca="1" si="5"/>
        <v>-42599</v>
      </c>
      <c r="H19" s="18" t="s">
        <v>43</v>
      </c>
      <c r="I19" s="18"/>
      <c r="J19" s="19">
        <v>0</v>
      </c>
      <c r="K19" s="19"/>
      <c r="L19" s="20"/>
      <c r="M19" s="39"/>
      <c r="N19" s="38"/>
      <c r="O19" s="122"/>
      <c r="P19" s="99"/>
      <c r="Q19" s="145"/>
      <c r="R19" s="13"/>
      <c r="S19" s="146"/>
      <c r="AQ19" s="3"/>
      <c r="AR19" s="3"/>
    </row>
    <row r="20" spans="1:44">
      <c r="A20" s="121" t="s">
        <v>38</v>
      </c>
      <c r="B20" s="14" t="s">
        <v>16</v>
      </c>
      <c r="C20" s="15" t="s">
        <v>58</v>
      </c>
      <c r="D20" s="21" t="s">
        <v>33</v>
      </c>
      <c r="E20" s="16"/>
      <c r="F20" s="15" t="str">
        <f t="shared" ca="1" si="2"/>
        <v/>
      </c>
      <c r="G20" s="4">
        <f t="shared" ca="1" si="5"/>
        <v>-42599</v>
      </c>
      <c r="H20" s="18" t="s">
        <v>41</v>
      </c>
      <c r="I20" s="18"/>
      <c r="J20" s="19">
        <v>0</v>
      </c>
      <c r="K20" s="19"/>
      <c r="L20" s="20"/>
      <c r="M20" s="39"/>
      <c r="N20" s="27"/>
      <c r="O20" s="122"/>
      <c r="P20" s="24"/>
      <c r="Q20" s="145"/>
      <c r="R20" s="13"/>
      <c r="S20" s="146"/>
    </row>
    <row r="21" spans="1:44">
      <c r="A21" s="121" t="s">
        <v>39</v>
      </c>
      <c r="B21" s="14" t="s">
        <v>16</v>
      </c>
      <c r="C21" s="25" t="s">
        <v>58</v>
      </c>
      <c r="D21" s="21" t="s">
        <v>33</v>
      </c>
      <c r="E21" s="16"/>
      <c r="F21" s="15" t="str">
        <f t="shared" ca="1" si="2"/>
        <v/>
      </c>
      <c r="G21" s="4">
        <f t="shared" ca="1" si="5"/>
        <v>-42599</v>
      </c>
      <c r="H21" s="18" t="s">
        <v>41</v>
      </c>
      <c r="I21" s="18"/>
      <c r="J21" s="19">
        <v>0</v>
      </c>
      <c r="K21" s="19"/>
      <c r="L21" s="20"/>
      <c r="M21" s="39"/>
      <c r="N21" s="29"/>
      <c r="O21" s="123"/>
      <c r="P21" s="24"/>
      <c r="Q21" s="145"/>
      <c r="R21" s="13"/>
      <c r="S21" s="146"/>
    </row>
    <row r="22" spans="1:44">
      <c r="A22" s="121" t="s">
        <v>40</v>
      </c>
      <c r="B22" s="14" t="s">
        <v>16</v>
      </c>
      <c r="C22" s="25" t="s">
        <v>58</v>
      </c>
      <c r="D22" s="21" t="s">
        <v>33</v>
      </c>
      <c r="E22" s="16"/>
      <c r="F22" s="15" t="str">
        <f t="shared" ca="1" si="2"/>
        <v/>
      </c>
      <c r="G22" s="4">
        <f t="shared" ca="1" si="5"/>
        <v>-42599</v>
      </c>
      <c r="H22" s="18" t="s">
        <v>41</v>
      </c>
      <c r="I22" s="18"/>
      <c r="J22" s="19">
        <v>0</v>
      </c>
      <c r="K22" s="19"/>
      <c r="L22" s="20"/>
      <c r="M22" s="39"/>
      <c r="N22" s="29"/>
      <c r="O22" s="123"/>
      <c r="P22" s="24"/>
      <c r="Q22" s="145"/>
      <c r="R22" s="13"/>
      <c r="S22" s="146"/>
    </row>
    <row r="23" spans="1:44" ht="36">
      <c r="A23" s="121" t="s">
        <v>79</v>
      </c>
      <c r="B23" s="21" t="s">
        <v>17</v>
      </c>
      <c r="C23" s="16" t="s">
        <v>78</v>
      </c>
      <c r="D23" s="21" t="s">
        <v>35</v>
      </c>
      <c r="E23" s="15" t="s">
        <v>89</v>
      </c>
      <c r="F23" s="15" t="str">
        <f t="shared" ca="1" si="2"/>
        <v/>
      </c>
      <c r="G23" s="4" t="e">
        <f t="shared" ca="1" si="5"/>
        <v>#VALUE!</v>
      </c>
      <c r="H23" s="18" t="s">
        <v>43</v>
      </c>
      <c r="I23" s="18"/>
      <c r="J23" s="19">
        <v>50</v>
      </c>
      <c r="K23" s="19"/>
      <c r="L23" s="20" t="s">
        <v>102</v>
      </c>
      <c r="M23" s="20"/>
      <c r="N23" s="13"/>
      <c r="O23" s="123"/>
      <c r="P23" s="24"/>
      <c r="Q23" s="145"/>
      <c r="R23" s="13"/>
      <c r="S23" s="146"/>
    </row>
    <row r="24" spans="1:44">
      <c r="A24" s="121" t="s">
        <v>51</v>
      </c>
      <c r="B24" s="14" t="s">
        <v>15</v>
      </c>
      <c r="C24" s="15" t="s">
        <v>65</v>
      </c>
      <c r="D24" s="21" t="s">
        <v>33</v>
      </c>
      <c r="E24" s="16"/>
      <c r="F24" s="15">
        <f t="shared" ca="1" si="2"/>
        <v>42597.89004027778</v>
      </c>
      <c r="G24" s="4">
        <f t="shared" ca="1" si="5"/>
        <v>-42599</v>
      </c>
      <c r="H24" s="18"/>
      <c r="I24" s="18"/>
      <c r="J24" s="19">
        <v>100</v>
      </c>
      <c r="K24" s="19"/>
      <c r="L24" s="20"/>
      <c r="M24" s="20"/>
      <c r="N24" s="27"/>
      <c r="O24" s="122"/>
      <c r="P24" s="24"/>
      <c r="Q24" s="145"/>
      <c r="R24" s="13"/>
      <c r="S24" s="146"/>
    </row>
    <row r="25" spans="1:44" ht="36">
      <c r="A25" s="121" t="s">
        <v>71</v>
      </c>
      <c r="B25" s="14" t="s">
        <v>17</v>
      </c>
      <c r="C25" s="15" t="s">
        <v>65</v>
      </c>
      <c r="D25" s="21" t="s">
        <v>32</v>
      </c>
      <c r="E25" s="16" t="s">
        <v>72</v>
      </c>
      <c r="F25" s="15" t="str">
        <f t="shared" ca="1" si="2"/>
        <v/>
      </c>
      <c r="G25" s="4" t="e">
        <f t="shared" ca="1" si="5"/>
        <v>#VALUE!</v>
      </c>
      <c r="H25" s="18" t="s">
        <v>43</v>
      </c>
      <c r="I25" s="18"/>
      <c r="J25" s="19">
        <v>0</v>
      </c>
      <c r="K25" s="19"/>
      <c r="L25" s="20"/>
      <c r="M25" s="20"/>
      <c r="N25" s="27"/>
      <c r="O25" s="122"/>
      <c r="P25" s="24"/>
      <c r="Q25" s="145"/>
      <c r="R25" s="13"/>
      <c r="S25" s="146"/>
    </row>
    <row r="26" spans="1:44">
      <c r="A26" s="121" t="s">
        <v>94</v>
      </c>
      <c r="B26" s="14" t="s">
        <v>17</v>
      </c>
      <c r="C26" s="15" t="s">
        <v>65</v>
      </c>
      <c r="D26" s="21" t="s">
        <v>32</v>
      </c>
      <c r="E26" s="16" t="s">
        <v>72</v>
      </c>
      <c r="F26" s="15" t="str">
        <f t="shared" ca="1" si="2"/>
        <v/>
      </c>
      <c r="G26" s="4" t="e">
        <f t="shared" ca="1" si="5"/>
        <v>#VALUE!</v>
      </c>
      <c r="H26" s="18" t="s">
        <v>43</v>
      </c>
      <c r="I26" s="18"/>
      <c r="J26" s="19">
        <v>0</v>
      </c>
      <c r="K26" s="19"/>
      <c r="L26" s="20"/>
      <c r="M26" s="20"/>
      <c r="N26" s="27"/>
      <c r="O26" s="122"/>
      <c r="P26" s="154"/>
      <c r="Q26" s="145"/>
      <c r="R26" s="147"/>
      <c r="S26" s="148"/>
    </row>
    <row r="27" spans="1:44">
      <c r="A27" s="121" t="s">
        <v>73</v>
      </c>
      <c r="B27" s="14" t="s">
        <v>15</v>
      </c>
      <c r="C27" s="15" t="s">
        <v>65</v>
      </c>
      <c r="D27" s="21" t="s">
        <v>32</v>
      </c>
      <c r="E27" s="16" t="s">
        <v>74</v>
      </c>
      <c r="F27" s="15">
        <f t="shared" ca="1" si="2"/>
        <v>42597.895147569441</v>
      </c>
      <c r="G27" s="4" t="e">
        <f t="shared" ca="1" si="5"/>
        <v>#VALUE!</v>
      </c>
      <c r="H27" s="18" t="s">
        <v>43</v>
      </c>
      <c r="I27" s="18"/>
      <c r="J27" s="19">
        <v>100</v>
      </c>
      <c r="K27" s="19"/>
      <c r="L27" s="20"/>
      <c r="M27" s="20"/>
      <c r="N27" s="27"/>
      <c r="O27" s="122"/>
      <c r="P27" s="154"/>
      <c r="Q27" s="145"/>
      <c r="R27" s="147"/>
      <c r="S27" s="148"/>
    </row>
    <row r="28" spans="1:44">
      <c r="A28" s="121" t="s">
        <v>50</v>
      </c>
      <c r="B28" s="14" t="s">
        <v>16</v>
      </c>
      <c r="C28" s="25"/>
      <c r="D28" s="21" t="s">
        <v>32</v>
      </c>
      <c r="E28" s="16"/>
      <c r="F28" s="15" t="str">
        <f t="shared" ca="1" si="2"/>
        <v/>
      </c>
      <c r="G28" s="4">
        <f t="shared" ca="1" si="5"/>
        <v>-42599</v>
      </c>
      <c r="H28" s="18" t="s">
        <v>41</v>
      </c>
      <c r="I28" s="18"/>
      <c r="J28" s="19">
        <v>0</v>
      </c>
      <c r="K28" s="19"/>
      <c r="L28" s="20"/>
      <c r="M28" s="39"/>
      <c r="N28" s="29"/>
      <c r="O28" s="123"/>
      <c r="P28" s="99"/>
      <c r="Q28" s="145"/>
      <c r="R28" s="147"/>
      <c r="S28" s="148"/>
    </row>
    <row r="29" spans="1:44">
      <c r="A29" s="121"/>
      <c r="B29" s="14"/>
      <c r="C29" s="15"/>
      <c r="D29" s="21"/>
      <c r="E29" s="16"/>
      <c r="F29" s="15"/>
      <c r="G29" s="4"/>
      <c r="H29" s="18"/>
      <c r="I29" s="18"/>
      <c r="J29" s="19"/>
      <c r="K29" s="19"/>
      <c r="L29" s="20"/>
      <c r="M29" s="20"/>
      <c r="N29" s="27"/>
      <c r="O29" s="122"/>
      <c r="P29" s="99"/>
      <c r="Q29" s="145"/>
      <c r="R29" s="147"/>
      <c r="S29" s="148"/>
    </row>
    <row r="30" spans="1:44">
      <c r="A30" s="121"/>
      <c r="B30" s="14"/>
      <c r="C30" s="15"/>
      <c r="D30" s="21"/>
      <c r="E30" s="16"/>
      <c r="F30" s="15"/>
      <c r="G30" s="4"/>
      <c r="H30" s="18"/>
      <c r="I30" s="18"/>
      <c r="J30" s="19"/>
      <c r="K30" s="19"/>
      <c r="L30" s="20"/>
      <c r="M30" s="20"/>
      <c r="N30" s="27"/>
      <c r="O30" s="122"/>
      <c r="P30" s="99"/>
      <c r="Q30" s="145"/>
      <c r="R30" s="147"/>
      <c r="S30" s="148"/>
    </row>
    <row r="31" spans="1:44">
      <c r="A31" s="121"/>
      <c r="B31" s="14"/>
      <c r="C31" s="15"/>
      <c r="D31" s="21"/>
      <c r="E31" s="16"/>
      <c r="F31" s="15"/>
      <c r="G31" s="4"/>
      <c r="H31" s="18"/>
      <c r="I31" s="18"/>
      <c r="J31" s="19"/>
      <c r="K31" s="19"/>
      <c r="L31" s="20"/>
      <c r="M31" s="20"/>
      <c r="N31" s="27"/>
      <c r="O31" s="122"/>
      <c r="P31" s="99"/>
      <c r="Q31" s="145"/>
      <c r="R31" s="147"/>
      <c r="S31" s="148"/>
    </row>
    <row r="32" spans="1:44">
      <c r="A32" s="121"/>
      <c r="B32" s="14"/>
      <c r="C32" s="15"/>
      <c r="D32" s="21"/>
      <c r="E32" s="16"/>
      <c r="F32" s="15"/>
      <c r="G32" s="4"/>
      <c r="H32" s="18"/>
      <c r="I32" s="18"/>
      <c r="J32" s="19"/>
      <c r="K32" s="19"/>
      <c r="L32" s="20"/>
      <c r="M32" s="20"/>
      <c r="N32" s="27"/>
      <c r="O32" s="122"/>
      <c r="P32" s="99"/>
      <c r="Q32" s="145"/>
      <c r="R32" s="147"/>
      <c r="S32" s="148"/>
    </row>
    <row r="33" spans="1:19">
      <c r="A33" s="121"/>
      <c r="B33" s="14"/>
      <c r="C33" s="15"/>
      <c r="D33" s="21"/>
      <c r="E33" s="16"/>
      <c r="F33" s="15"/>
      <c r="G33" s="4"/>
      <c r="H33" s="18"/>
      <c r="I33" s="18"/>
      <c r="J33" s="19"/>
      <c r="K33" s="19"/>
      <c r="L33" s="20"/>
      <c r="M33" s="20"/>
      <c r="N33" s="27"/>
      <c r="O33" s="122"/>
      <c r="P33" s="99"/>
      <c r="Q33" s="145"/>
      <c r="R33" s="147"/>
      <c r="S33" s="148"/>
    </row>
    <row r="34" spans="1:19">
      <c r="A34" s="121"/>
      <c r="B34" s="14"/>
      <c r="C34" s="15"/>
      <c r="D34" s="21"/>
      <c r="E34" s="16"/>
      <c r="F34" s="15"/>
      <c r="G34" s="4"/>
      <c r="H34" s="18"/>
      <c r="I34" s="18"/>
      <c r="J34" s="19"/>
      <c r="K34" s="19"/>
      <c r="L34" s="20"/>
      <c r="M34" s="20"/>
      <c r="N34" s="27"/>
      <c r="O34" s="122"/>
      <c r="P34" s="99"/>
      <c r="Q34" s="145"/>
      <c r="R34" s="147"/>
      <c r="S34" s="148"/>
    </row>
    <row r="35" spans="1:19">
      <c r="A35" s="126"/>
      <c r="B35" s="127" t="s">
        <v>16</v>
      </c>
      <c r="C35" s="128"/>
      <c r="D35" s="128"/>
      <c r="E35" s="129"/>
      <c r="F35" s="128"/>
      <c r="G35" s="130"/>
      <c r="H35" s="131"/>
      <c r="I35" s="131"/>
      <c r="J35" s="38"/>
      <c r="K35" s="38"/>
      <c r="L35" s="38"/>
      <c r="M35" s="38"/>
      <c r="N35" s="38"/>
      <c r="O35" s="132"/>
      <c r="Q35" s="149"/>
      <c r="R35" s="147"/>
      <c r="S35" s="148"/>
    </row>
    <row r="36" spans="1:19">
      <c r="A36" s="126"/>
      <c r="B36" s="133" t="s">
        <v>17</v>
      </c>
      <c r="C36" s="128"/>
      <c r="D36" s="128"/>
      <c r="E36" s="129"/>
      <c r="F36" s="128"/>
      <c r="G36" s="130"/>
      <c r="H36" s="131"/>
      <c r="I36" s="131"/>
      <c r="J36" s="38"/>
      <c r="K36" s="38"/>
      <c r="L36" s="38"/>
      <c r="M36" s="38"/>
      <c r="N36" s="38"/>
      <c r="O36" s="132"/>
      <c r="Q36" s="149"/>
      <c r="R36" s="147"/>
      <c r="S36" s="148"/>
    </row>
    <row r="37" spans="1:19">
      <c r="A37" s="126"/>
      <c r="B37" s="127" t="s">
        <v>19</v>
      </c>
      <c r="C37" s="128"/>
      <c r="D37" s="128"/>
      <c r="E37" s="129"/>
      <c r="F37" s="128"/>
      <c r="G37" s="130"/>
      <c r="H37" s="131"/>
      <c r="I37" s="131"/>
      <c r="J37" s="38"/>
      <c r="K37" s="38"/>
      <c r="L37" s="38"/>
      <c r="M37" s="38"/>
      <c r="N37" s="38"/>
      <c r="O37" s="132"/>
      <c r="Q37" s="149"/>
      <c r="R37" s="147"/>
      <c r="S37" s="148"/>
    </row>
    <row r="38" spans="1:19">
      <c r="A38" s="126"/>
      <c r="B38" s="133" t="s">
        <v>13</v>
      </c>
      <c r="C38" s="128"/>
      <c r="D38" s="128"/>
      <c r="E38" s="129"/>
      <c r="F38" s="128"/>
      <c r="G38" s="130"/>
      <c r="H38" s="131"/>
      <c r="I38" s="131"/>
      <c r="J38" s="38"/>
      <c r="K38" s="38"/>
      <c r="L38" s="38"/>
      <c r="M38" s="38"/>
      <c r="N38" s="38"/>
      <c r="O38" s="132"/>
      <c r="Q38" s="149"/>
      <c r="R38" s="147"/>
      <c r="S38" s="148"/>
    </row>
    <row r="39" spans="1:19">
      <c r="A39" s="126"/>
      <c r="B39" s="133" t="s">
        <v>14</v>
      </c>
      <c r="C39" s="128"/>
      <c r="D39" s="128"/>
      <c r="E39" s="129"/>
      <c r="F39" s="128"/>
      <c r="G39" s="130"/>
      <c r="H39" s="131"/>
      <c r="I39" s="131"/>
      <c r="J39" s="38"/>
      <c r="K39" s="38"/>
      <c r="L39" s="38"/>
      <c r="M39" s="38"/>
      <c r="N39" s="38"/>
      <c r="O39" s="132"/>
      <c r="Q39" s="149"/>
      <c r="R39" s="147"/>
      <c r="S39" s="148"/>
    </row>
    <row r="40" spans="1:19">
      <c r="A40" s="126"/>
      <c r="B40" s="133" t="s">
        <v>15</v>
      </c>
      <c r="C40" s="128"/>
      <c r="D40" s="128"/>
      <c r="E40" s="129"/>
      <c r="F40" s="128"/>
      <c r="G40" s="130"/>
      <c r="H40" s="131"/>
      <c r="I40" s="131"/>
      <c r="J40" s="38"/>
      <c r="K40" s="38"/>
      <c r="L40" s="38"/>
      <c r="M40" s="38"/>
      <c r="N40" s="38"/>
      <c r="O40" s="132"/>
      <c r="Q40" s="149"/>
      <c r="R40" s="147"/>
      <c r="S40" s="148"/>
    </row>
    <row r="41" spans="1:19">
      <c r="A41" s="126"/>
      <c r="B41" s="127"/>
      <c r="C41" s="128"/>
      <c r="D41" s="128"/>
      <c r="E41" s="129"/>
      <c r="F41" s="128"/>
      <c r="G41" s="130"/>
      <c r="H41" s="131"/>
      <c r="I41" s="131"/>
      <c r="J41" s="38"/>
      <c r="K41" s="38"/>
      <c r="L41" s="38"/>
      <c r="M41" s="38"/>
      <c r="N41" s="38"/>
      <c r="O41" s="132"/>
      <c r="Q41" s="149"/>
      <c r="R41" s="147"/>
      <c r="S41" s="148"/>
    </row>
    <row r="42" spans="1:19">
      <c r="A42" s="126"/>
      <c r="B42" s="133" t="s">
        <v>4</v>
      </c>
      <c r="C42" s="128"/>
      <c r="D42" s="128"/>
      <c r="E42" s="129"/>
      <c r="F42" s="128"/>
      <c r="G42" s="130"/>
      <c r="H42" s="131"/>
      <c r="I42" s="131"/>
      <c r="J42" s="38"/>
      <c r="K42" s="38"/>
      <c r="L42" s="38"/>
      <c r="M42" s="38"/>
      <c r="N42" s="38"/>
      <c r="O42" s="132"/>
      <c r="Q42" s="149"/>
      <c r="R42" s="147"/>
      <c r="S42" s="148"/>
    </row>
    <row r="43" spans="1:19">
      <c r="A43" s="126"/>
      <c r="B43" s="133" t="s">
        <v>4</v>
      </c>
      <c r="C43" s="128"/>
      <c r="D43" s="128"/>
      <c r="E43" s="129"/>
      <c r="F43" s="128"/>
      <c r="G43" s="130"/>
      <c r="H43" s="131"/>
      <c r="I43" s="131"/>
      <c r="J43" s="38"/>
      <c r="K43" s="38"/>
      <c r="L43" s="38"/>
      <c r="M43" s="38"/>
      <c r="N43" s="38"/>
      <c r="O43" s="132"/>
      <c r="Q43" s="149"/>
      <c r="R43" s="147"/>
      <c r="S43" s="148"/>
    </row>
    <row r="44" spans="1:19">
      <c r="A44" s="126"/>
      <c r="B44" s="133"/>
      <c r="C44" s="128"/>
      <c r="D44" s="128"/>
      <c r="E44" s="129"/>
      <c r="F44" s="128"/>
      <c r="G44" s="130"/>
      <c r="H44" s="131"/>
      <c r="I44" s="131"/>
      <c r="J44" s="38"/>
      <c r="K44" s="38"/>
      <c r="L44" s="38"/>
      <c r="M44" s="38"/>
      <c r="N44" s="38"/>
      <c r="O44" s="132"/>
      <c r="Q44" s="149"/>
      <c r="R44" s="147"/>
      <c r="S44" s="148"/>
    </row>
    <row r="45" spans="1:19">
      <c r="A45" s="126"/>
      <c r="B45" s="133"/>
      <c r="C45" s="128"/>
      <c r="D45" s="128"/>
      <c r="E45" s="129"/>
      <c r="F45" s="128"/>
      <c r="G45" s="130"/>
      <c r="H45" s="131"/>
      <c r="I45" s="131"/>
      <c r="J45" s="38"/>
      <c r="K45" s="38"/>
      <c r="L45" s="38"/>
      <c r="M45" s="38"/>
      <c r="N45" s="38"/>
      <c r="O45" s="132"/>
      <c r="Q45" s="149"/>
      <c r="R45" s="147"/>
      <c r="S45" s="148"/>
    </row>
    <row r="46" spans="1:19">
      <c r="A46" s="126"/>
      <c r="B46" s="127"/>
      <c r="C46" s="128"/>
      <c r="D46" s="128"/>
      <c r="E46" s="129"/>
      <c r="F46" s="128"/>
      <c r="G46" s="130"/>
      <c r="H46" s="131"/>
      <c r="I46" s="131"/>
      <c r="J46" s="38"/>
      <c r="K46" s="38"/>
      <c r="L46" s="38"/>
      <c r="M46" s="38"/>
      <c r="N46" s="38"/>
      <c r="O46" s="132"/>
      <c r="Q46" s="149"/>
      <c r="R46" s="147"/>
      <c r="S46" s="148"/>
    </row>
    <row r="47" spans="1:19">
      <c r="A47" s="126"/>
      <c r="B47" s="127"/>
      <c r="C47" s="128"/>
      <c r="D47" s="128"/>
      <c r="E47" s="129"/>
      <c r="F47" s="128"/>
      <c r="G47" s="130"/>
      <c r="H47" s="131"/>
      <c r="I47" s="131"/>
      <c r="J47" s="38"/>
      <c r="K47" s="38"/>
      <c r="L47" s="38"/>
      <c r="M47" s="38"/>
      <c r="N47" s="38"/>
      <c r="O47" s="132"/>
      <c r="Q47" s="149"/>
      <c r="R47" s="147"/>
      <c r="S47" s="148"/>
    </row>
    <row r="48" spans="1:19">
      <c r="A48" s="126"/>
      <c r="B48" s="127"/>
      <c r="C48" s="128"/>
      <c r="D48" s="128"/>
      <c r="E48" s="129"/>
      <c r="F48" s="128"/>
      <c r="G48" s="130"/>
      <c r="H48" s="131"/>
      <c r="I48" s="131"/>
      <c r="J48" s="38"/>
      <c r="K48" s="38"/>
      <c r="L48" s="38"/>
      <c r="M48" s="38"/>
      <c r="N48" s="38"/>
      <c r="O48" s="132"/>
      <c r="Q48" s="149"/>
      <c r="R48" s="147"/>
      <c r="S48" s="148"/>
    </row>
    <row r="49" spans="1:19">
      <c r="A49" s="126"/>
      <c r="B49" s="127"/>
      <c r="C49" s="128"/>
      <c r="D49" s="128"/>
      <c r="E49" s="129"/>
      <c r="F49" s="128"/>
      <c r="G49" s="130"/>
      <c r="H49" s="131"/>
      <c r="I49" s="131"/>
      <c r="J49" s="38"/>
      <c r="K49" s="38"/>
      <c r="L49" s="38"/>
      <c r="M49" s="38"/>
      <c r="N49" s="38"/>
      <c r="O49" s="132"/>
      <c r="Q49" s="149"/>
      <c r="R49" s="147"/>
      <c r="S49" s="148"/>
    </row>
    <row r="50" spans="1:19">
      <c r="A50" s="126"/>
      <c r="B50" s="127"/>
      <c r="C50" s="128"/>
      <c r="D50" s="128"/>
      <c r="E50" s="129"/>
      <c r="F50" s="128"/>
      <c r="G50" s="130"/>
      <c r="H50" s="131"/>
      <c r="I50" s="131"/>
      <c r="J50" s="38"/>
      <c r="K50" s="38"/>
      <c r="L50" s="38"/>
      <c r="M50" s="38"/>
      <c r="N50" s="38"/>
      <c r="O50" s="132"/>
      <c r="Q50" s="149"/>
      <c r="R50" s="147"/>
      <c r="S50" s="148"/>
    </row>
    <row r="51" spans="1:19">
      <c r="A51" s="126"/>
      <c r="B51" s="127"/>
      <c r="C51" s="128"/>
      <c r="D51" s="128"/>
      <c r="E51" s="129"/>
      <c r="F51" s="128"/>
      <c r="G51" s="130"/>
      <c r="H51" s="131"/>
      <c r="I51" s="131"/>
      <c r="J51" s="131"/>
      <c r="K51" s="131"/>
      <c r="L51" s="38"/>
      <c r="M51" s="38"/>
      <c r="N51" s="38"/>
      <c r="O51" s="132"/>
      <c r="Q51" s="149"/>
      <c r="R51" s="147"/>
      <c r="S51" s="148"/>
    </row>
    <row r="52" spans="1:19">
      <c r="A52" s="126"/>
      <c r="B52" s="127"/>
      <c r="C52" s="128"/>
      <c r="D52" s="128"/>
      <c r="E52" s="129"/>
      <c r="F52" s="128"/>
      <c r="G52" s="130"/>
      <c r="H52" s="131"/>
      <c r="I52" s="131"/>
      <c r="J52" s="131"/>
      <c r="K52" s="131"/>
      <c r="L52" s="38"/>
      <c r="M52" s="38"/>
      <c r="N52" s="38"/>
      <c r="O52" s="132"/>
      <c r="Q52" s="149"/>
      <c r="R52" s="147"/>
      <c r="S52" s="148"/>
    </row>
    <row r="53" spans="1:19">
      <c r="A53" s="126"/>
      <c r="B53" s="127"/>
      <c r="C53" s="128"/>
      <c r="D53" s="128"/>
      <c r="E53" s="129"/>
      <c r="F53" s="128"/>
      <c r="G53" s="130"/>
      <c r="H53" s="131"/>
      <c r="I53" s="131"/>
      <c r="J53" s="131"/>
      <c r="K53" s="131"/>
      <c r="L53" s="38"/>
      <c r="M53" s="38"/>
      <c r="N53" s="38"/>
      <c r="O53" s="132"/>
      <c r="Q53" s="149"/>
      <c r="R53" s="147"/>
      <c r="S53" s="148"/>
    </row>
    <row r="54" spans="1:19">
      <c r="A54" s="126"/>
      <c r="B54" s="127"/>
      <c r="C54" s="128"/>
      <c r="D54" s="128"/>
      <c r="E54" s="129"/>
      <c r="F54" s="128"/>
      <c r="G54" s="130"/>
      <c r="H54" s="131"/>
      <c r="I54" s="131"/>
      <c r="J54" s="131"/>
      <c r="K54" s="131"/>
      <c r="L54" s="38"/>
      <c r="M54" s="38"/>
      <c r="N54" s="38"/>
      <c r="O54" s="132"/>
      <c r="Q54" s="149"/>
      <c r="R54" s="147"/>
      <c r="S54" s="148"/>
    </row>
    <row r="55" spans="1:19">
      <c r="A55" s="126"/>
      <c r="B55" s="127"/>
      <c r="C55" s="128"/>
      <c r="D55" s="128"/>
      <c r="E55" s="129"/>
      <c r="F55" s="128"/>
      <c r="G55" s="130"/>
      <c r="H55" s="131"/>
      <c r="I55" s="131"/>
      <c r="J55" s="131"/>
      <c r="K55" s="131"/>
      <c r="L55" s="38"/>
      <c r="M55" s="38"/>
      <c r="N55" s="38"/>
      <c r="O55" s="132"/>
      <c r="Q55" s="149"/>
      <c r="R55" s="147"/>
      <c r="S55" s="148"/>
    </row>
    <row r="56" spans="1:19">
      <c r="A56" s="126"/>
      <c r="B56" s="127"/>
      <c r="C56" s="128"/>
      <c r="D56" s="128"/>
      <c r="E56" s="129"/>
      <c r="F56" s="128"/>
      <c r="G56" s="130"/>
      <c r="H56" s="131"/>
      <c r="I56" s="131"/>
      <c r="J56" s="131"/>
      <c r="K56" s="131"/>
      <c r="L56" s="38"/>
      <c r="M56" s="38"/>
      <c r="N56" s="38"/>
      <c r="O56" s="132"/>
      <c r="Q56" s="149"/>
      <c r="R56" s="147"/>
      <c r="S56" s="148"/>
    </row>
    <row r="57" spans="1:19">
      <c r="A57" s="126"/>
      <c r="B57" s="127"/>
      <c r="C57" s="128"/>
      <c r="D57" s="128"/>
      <c r="E57" s="129"/>
      <c r="F57" s="128"/>
      <c r="G57" s="130"/>
      <c r="H57" s="131"/>
      <c r="I57" s="131"/>
      <c r="J57" s="131"/>
      <c r="K57" s="131"/>
      <c r="L57" s="38"/>
      <c r="M57" s="38"/>
      <c r="N57" s="38"/>
      <c r="O57" s="132"/>
      <c r="Q57" s="149"/>
      <c r="R57" s="147"/>
      <c r="S57" s="148"/>
    </row>
    <row r="58" spans="1:19">
      <c r="A58" s="126"/>
      <c r="B58" s="127"/>
      <c r="C58" s="128"/>
      <c r="D58" s="128"/>
      <c r="E58" s="129"/>
      <c r="F58" s="128"/>
      <c r="G58" s="130"/>
      <c r="H58" s="131"/>
      <c r="I58" s="131"/>
      <c r="J58" s="131"/>
      <c r="K58" s="131"/>
      <c r="L58" s="38"/>
      <c r="M58" s="38"/>
      <c r="N58" s="38"/>
      <c r="O58" s="132"/>
      <c r="Q58" s="149"/>
      <c r="R58" s="147"/>
      <c r="S58" s="148"/>
    </row>
    <row r="59" spans="1:19">
      <c r="A59" s="126"/>
      <c r="B59" s="127"/>
      <c r="C59" s="128"/>
      <c r="D59" s="128"/>
      <c r="E59" s="129"/>
      <c r="F59" s="128"/>
      <c r="G59" s="130"/>
      <c r="H59" s="131"/>
      <c r="I59" s="131"/>
      <c r="J59" s="131"/>
      <c r="K59" s="131"/>
      <c r="L59" s="38"/>
      <c r="M59" s="38"/>
      <c r="N59" s="38"/>
      <c r="O59" s="132"/>
      <c r="Q59" s="149"/>
      <c r="R59" s="147"/>
      <c r="S59" s="148"/>
    </row>
    <row r="60" spans="1:19">
      <c r="A60" s="126"/>
      <c r="B60" s="127"/>
      <c r="C60" s="128"/>
      <c r="D60" s="128"/>
      <c r="E60" s="129"/>
      <c r="F60" s="128"/>
      <c r="G60" s="130"/>
      <c r="H60" s="131"/>
      <c r="I60" s="131"/>
      <c r="J60" s="131"/>
      <c r="K60" s="131"/>
      <c r="L60" s="38"/>
      <c r="M60" s="38"/>
      <c r="N60" s="38"/>
      <c r="O60" s="132"/>
      <c r="Q60" s="149"/>
      <c r="R60" s="147"/>
      <c r="S60" s="148"/>
    </row>
    <row r="61" spans="1:19">
      <c r="A61" s="126"/>
      <c r="B61" s="127"/>
      <c r="C61" s="128"/>
      <c r="D61" s="128"/>
      <c r="E61" s="129"/>
      <c r="F61" s="128"/>
      <c r="G61" s="130"/>
      <c r="H61" s="131"/>
      <c r="I61" s="131"/>
      <c r="J61" s="131"/>
      <c r="K61" s="131"/>
      <c r="L61" s="38"/>
      <c r="M61" s="38"/>
      <c r="N61" s="38"/>
      <c r="O61" s="132"/>
      <c r="Q61" s="149"/>
      <c r="R61" s="147"/>
      <c r="S61" s="148"/>
    </row>
    <row r="62" spans="1:19">
      <c r="A62" s="126"/>
      <c r="B62" s="127"/>
      <c r="C62" s="128"/>
      <c r="D62" s="128"/>
      <c r="E62" s="129"/>
      <c r="F62" s="128"/>
      <c r="G62" s="130"/>
      <c r="H62" s="131"/>
      <c r="I62" s="131"/>
      <c r="J62" s="131"/>
      <c r="K62" s="131"/>
      <c r="L62" s="38"/>
      <c r="M62" s="38"/>
      <c r="N62" s="38"/>
      <c r="O62" s="132"/>
      <c r="Q62" s="149"/>
      <c r="R62" s="147"/>
      <c r="S62" s="148"/>
    </row>
    <row r="63" spans="1:19">
      <c r="A63" s="126"/>
      <c r="B63" s="127"/>
      <c r="C63" s="128"/>
      <c r="D63" s="128"/>
      <c r="E63" s="129"/>
      <c r="F63" s="128"/>
      <c r="G63" s="130"/>
      <c r="H63" s="131"/>
      <c r="I63" s="131"/>
      <c r="J63" s="131"/>
      <c r="K63" s="131"/>
      <c r="L63" s="38"/>
      <c r="M63" s="38"/>
      <c r="N63" s="38"/>
      <c r="O63" s="132"/>
      <c r="Q63" s="149"/>
      <c r="R63" s="147"/>
      <c r="S63" s="148"/>
    </row>
    <row r="64" spans="1:19">
      <c r="A64" s="126"/>
      <c r="B64" s="127"/>
      <c r="C64" s="128"/>
      <c r="D64" s="128"/>
      <c r="E64" s="129"/>
      <c r="F64" s="128"/>
      <c r="G64" s="130"/>
      <c r="H64" s="131"/>
      <c r="I64" s="131"/>
      <c r="J64" s="131"/>
      <c r="K64" s="131"/>
      <c r="L64" s="38"/>
      <c r="M64" s="38"/>
      <c r="N64" s="38"/>
      <c r="O64" s="132"/>
      <c r="Q64" s="149"/>
      <c r="R64" s="147"/>
      <c r="S64" s="148"/>
    </row>
    <row r="65" spans="1:19">
      <c r="A65" s="126"/>
      <c r="B65" s="127"/>
      <c r="C65" s="128"/>
      <c r="D65" s="128"/>
      <c r="E65" s="129"/>
      <c r="F65" s="128"/>
      <c r="G65" s="130"/>
      <c r="H65" s="131"/>
      <c r="I65" s="131"/>
      <c r="J65" s="131"/>
      <c r="K65" s="131"/>
      <c r="L65" s="38"/>
      <c r="M65" s="38"/>
      <c r="N65" s="38"/>
      <c r="O65" s="132"/>
      <c r="Q65" s="149"/>
      <c r="R65" s="147"/>
      <c r="S65" s="148"/>
    </row>
    <row r="66" spans="1:19">
      <c r="A66" s="126"/>
      <c r="B66" s="127"/>
      <c r="C66" s="128"/>
      <c r="D66" s="128"/>
      <c r="E66" s="129"/>
      <c r="F66" s="128"/>
      <c r="G66" s="130"/>
      <c r="H66" s="131"/>
      <c r="I66" s="131"/>
      <c r="J66" s="131"/>
      <c r="K66" s="131"/>
      <c r="L66" s="38"/>
      <c r="M66" s="38"/>
      <c r="N66" s="38"/>
      <c r="O66" s="132"/>
      <c r="Q66" s="149"/>
      <c r="R66" s="147"/>
      <c r="S66" s="148"/>
    </row>
    <row r="67" spans="1:19">
      <c r="A67" s="126"/>
      <c r="B67" s="127"/>
      <c r="C67" s="128"/>
      <c r="D67" s="128"/>
      <c r="E67" s="129"/>
      <c r="F67" s="128"/>
      <c r="G67" s="130"/>
      <c r="H67" s="131"/>
      <c r="I67" s="131"/>
      <c r="J67" s="131"/>
      <c r="K67" s="131"/>
      <c r="L67" s="38"/>
      <c r="M67" s="38"/>
      <c r="N67" s="38"/>
      <c r="O67" s="132"/>
      <c r="Q67" s="149"/>
      <c r="R67" s="147"/>
      <c r="S67" s="148"/>
    </row>
    <row r="68" spans="1:19">
      <c r="A68" s="126"/>
      <c r="B68" s="127"/>
      <c r="C68" s="128"/>
      <c r="D68" s="128"/>
      <c r="E68" s="129"/>
      <c r="F68" s="128"/>
      <c r="G68" s="130"/>
      <c r="H68" s="131"/>
      <c r="I68" s="131"/>
      <c r="J68" s="131"/>
      <c r="K68" s="131"/>
      <c r="L68" s="38"/>
      <c r="M68" s="38"/>
      <c r="N68" s="38"/>
      <c r="O68" s="132"/>
      <c r="Q68" s="149"/>
      <c r="R68" s="147"/>
      <c r="S68" s="148"/>
    </row>
    <row r="69" spans="1:19">
      <c r="A69" s="126"/>
      <c r="B69" s="127"/>
      <c r="C69" s="128"/>
      <c r="D69" s="128"/>
      <c r="E69" s="129"/>
      <c r="F69" s="128"/>
      <c r="G69" s="130"/>
      <c r="H69" s="131"/>
      <c r="I69" s="131"/>
      <c r="J69" s="131"/>
      <c r="K69" s="131"/>
      <c r="L69" s="38"/>
      <c r="M69" s="38"/>
      <c r="N69" s="38"/>
      <c r="O69" s="132"/>
      <c r="Q69" s="149"/>
      <c r="R69" s="147"/>
      <c r="S69" s="148"/>
    </row>
    <row r="70" spans="1:19">
      <c r="A70" s="126"/>
      <c r="B70" s="127"/>
      <c r="C70" s="128"/>
      <c r="D70" s="128"/>
      <c r="E70" s="129"/>
      <c r="F70" s="128"/>
      <c r="G70" s="130"/>
      <c r="H70" s="131"/>
      <c r="I70" s="131"/>
      <c r="J70" s="131"/>
      <c r="K70" s="131"/>
      <c r="L70" s="38"/>
      <c r="M70" s="38"/>
      <c r="N70" s="38"/>
      <c r="O70" s="132"/>
      <c r="Q70" s="149"/>
      <c r="R70" s="147"/>
      <c r="S70" s="148"/>
    </row>
    <row r="71" spans="1:19">
      <c r="A71" s="126"/>
      <c r="B71" s="127"/>
      <c r="C71" s="128"/>
      <c r="D71" s="128"/>
      <c r="E71" s="129"/>
      <c r="F71" s="128"/>
      <c r="G71" s="130"/>
      <c r="H71" s="131"/>
      <c r="I71" s="131"/>
      <c r="J71" s="131"/>
      <c r="K71" s="131"/>
      <c r="L71" s="38"/>
      <c r="M71" s="38"/>
      <c r="N71" s="38"/>
      <c r="O71" s="132"/>
      <c r="Q71" s="149"/>
      <c r="R71" s="147"/>
      <c r="S71" s="148"/>
    </row>
    <row r="72" spans="1:19">
      <c r="A72" s="126"/>
      <c r="B72" s="127"/>
      <c r="C72" s="128"/>
      <c r="D72" s="128"/>
      <c r="E72" s="129"/>
      <c r="F72" s="128"/>
      <c r="G72" s="130"/>
      <c r="H72" s="131"/>
      <c r="I72" s="131"/>
      <c r="J72" s="131"/>
      <c r="K72" s="131"/>
      <c r="L72" s="38"/>
      <c r="M72" s="38"/>
      <c r="N72" s="38"/>
      <c r="O72" s="132"/>
      <c r="Q72" s="149"/>
      <c r="R72" s="147"/>
      <c r="S72" s="148"/>
    </row>
    <row r="73" spans="1:19">
      <c r="A73" s="126"/>
      <c r="B73" s="127"/>
      <c r="C73" s="128"/>
      <c r="D73" s="128"/>
      <c r="E73" s="129"/>
      <c r="F73" s="128"/>
      <c r="G73" s="130"/>
      <c r="H73" s="131"/>
      <c r="I73" s="131"/>
      <c r="J73" s="131"/>
      <c r="K73" s="131"/>
      <c r="L73" s="38"/>
      <c r="M73" s="38"/>
      <c r="N73" s="38"/>
      <c r="O73" s="132"/>
      <c r="Q73" s="149"/>
      <c r="R73" s="147"/>
      <c r="S73" s="148"/>
    </row>
    <row r="74" spans="1:19">
      <c r="A74" s="126"/>
      <c r="B74" s="127"/>
      <c r="C74" s="128"/>
      <c r="D74" s="128"/>
      <c r="E74" s="129"/>
      <c r="F74" s="128"/>
      <c r="G74" s="130"/>
      <c r="H74" s="131"/>
      <c r="I74" s="131"/>
      <c r="J74" s="131"/>
      <c r="K74" s="131"/>
      <c r="L74" s="38"/>
      <c r="M74" s="38"/>
      <c r="N74" s="38"/>
      <c r="O74" s="132"/>
      <c r="Q74" s="149"/>
      <c r="R74" s="147"/>
      <c r="S74" s="148"/>
    </row>
    <row r="75" spans="1:19">
      <c r="A75" s="126"/>
      <c r="B75" s="127"/>
      <c r="C75" s="128"/>
      <c r="D75" s="128"/>
      <c r="E75" s="129"/>
      <c r="F75" s="128"/>
      <c r="G75" s="130"/>
      <c r="H75" s="131"/>
      <c r="I75" s="131"/>
      <c r="J75" s="131"/>
      <c r="K75" s="131"/>
      <c r="L75" s="38"/>
      <c r="M75" s="38"/>
      <c r="N75" s="38"/>
      <c r="O75" s="132"/>
      <c r="Q75" s="149"/>
      <c r="R75" s="147"/>
      <c r="S75" s="148"/>
    </row>
    <row r="76" spans="1:19">
      <c r="A76" s="126"/>
      <c r="B76" s="127"/>
      <c r="C76" s="128"/>
      <c r="D76" s="128"/>
      <c r="E76" s="129"/>
      <c r="F76" s="128"/>
      <c r="G76" s="130"/>
      <c r="H76" s="131"/>
      <c r="I76" s="131"/>
      <c r="J76" s="131"/>
      <c r="K76" s="131"/>
      <c r="L76" s="38"/>
      <c r="M76" s="38"/>
      <c r="N76" s="38"/>
      <c r="O76" s="132"/>
      <c r="Q76" s="149"/>
      <c r="R76" s="147"/>
      <c r="S76" s="148"/>
    </row>
    <row r="77" spans="1:19">
      <c r="A77" s="126"/>
      <c r="B77" s="127"/>
      <c r="C77" s="128"/>
      <c r="D77" s="128"/>
      <c r="E77" s="129"/>
      <c r="F77" s="128"/>
      <c r="G77" s="130"/>
      <c r="H77" s="131"/>
      <c r="I77" s="131"/>
      <c r="J77" s="131"/>
      <c r="K77" s="131"/>
      <c r="L77" s="38"/>
      <c r="M77" s="38"/>
      <c r="N77" s="38"/>
      <c r="O77" s="132"/>
      <c r="Q77" s="149"/>
      <c r="R77" s="147"/>
      <c r="S77" s="148"/>
    </row>
    <row r="78" spans="1:19">
      <c r="A78" s="126"/>
      <c r="B78" s="127"/>
      <c r="C78" s="128"/>
      <c r="D78" s="128"/>
      <c r="E78" s="129"/>
      <c r="F78" s="128"/>
      <c r="G78" s="130"/>
      <c r="H78" s="131"/>
      <c r="I78" s="131"/>
      <c r="J78" s="131"/>
      <c r="K78" s="131"/>
      <c r="L78" s="38"/>
      <c r="M78" s="38"/>
      <c r="N78" s="38"/>
      <c r="O78" s="132"/>
      <c r="Q78" s="149"/>
      <c r="R78" s="147"/>
      <c r="S78" s="148"/>
    </row>
    <row r="79" spans="1:19">
      <c r="A79" s="126"/>
      <c r="B79" s="127"/>
      <c r="C79" s="128"/>
      <c r="D79" s="128"/>
      <c r="E79" s="129"/>
      <c r="F79" s="128"/>
      <c r="G79" s="130"/>
      <c r="H79" s="131"/>
      <c r="I79" s="131"/>
      <c r="J79" s="131"/>
      <c r="K79" s="131"/>
      <c r="L79" s="38"/>
      <c r="M79" s="38"/>
      <c r="N79" s="38"/>
      <c r="O79" s="132"/>
      <c r="Q79" s="149"/>
      <c r="R79" s="147"/>
      <c r="S79" s="148"/>
    </row>
    <row r="80" spans="1:19">
      <c r="A80" s="126"/>
      <c r="B80" s="127"/>
      <c r="C80" s="128"/>
      <c r="D80" s="128"/>
      <c r="E80" s="129"/>
      <c r="F80" s="128"/>
      <c r="G80" s="130"/>
      <c r="H80" s="131"/>
      <c r="I80" s="131"/>
      <c r="J80" s="131"/>
      <c r="K80" s="131"/>
      <c r="L80" s="38"/>
      <c r="M80" s="38"/>
      <c r="N80" s="38"/>
      <c r="O80" s="132"/>
      <c r="Q80" s="149"/>
      <c r="R80" s="147"/>
      <c r="S80" s="148"/>
    </row>
    <row r="81" spans="1:19">
      <c r="A81" s="126"/>
      <c r="B81" s="127"/>
      <c r="C81" s="128"/>
      <c r="D81" s="128"/>
      <c r="E81" s="129"/>
      <c r="F81" s="128"/>
      <c r="G81" s="130"/>
      <c r="H81" s="131"/>
      <c r="I81" s="131"/>
      <c r="J81" s="131"/>
      <c r="K81" s="131"/>
      <c r="L81" s="38"/>
      <c r="M81" s="38"/>
      <c r="N81" s="38"/>
      <c r="O81" s="132"/>
      <c r="Q81" s="149"/>
      <c r="R81" s="147"/>
      <c r="S81" s="148"/>
    </row>
    <row r="82" spans="1:19">
      <c r="A82" s="126"/>
      <c r="B82" s="127"/>
      <c r="C82" s="128"/>
      <c r="D82" s="128"/>
      <c r="E82" s="129"/>
      <c r="F82" s="128"/>
      <c r="G82" s="130"/>
      <c r="H82" s="131"/>
      <c r="I82" s="131"/>
      <c r="J82" s="131"/>
      <c r="K82" s="131"/>
      <c r="L82" s="38"/>
      <c r="M82" s="38"/>
      <c r="N82" s="38"/>
      <c r="O82" s="132"/>
      <c r="Q82" s="149"/>
      <c r="R82" s="147"/>
      <c r="S82" s="148"/>
    </row>
    <row r="83" spans="1:19">
      <c r="A83" s="126"/>
      <c r="B83" s="127"/>
      <c r="C83" s="128"/>
      <c r="D83" s="128"/>
      <c r="E83" s="129"/>
      <c r="F83" s="128"/>
      <c r="G83" s="130"/>
      <c r="H83" s="131"/>
      <c r="I83" s="131"/>
      <c r="J83" s="131"/>
      <c r="K83" s="131"/>
      <c r="L83" s="38"/>
      <c r="M83" s="38"/>
      <c r="N83" s="38"/>
      <c r="O83" s="132"/>
      <c r="Q83" s="149"/>
      <c r="R83" s="147"/>
      <c r="S83" s="148"/>
    </row>
    <row r="84" spans="1:19">
      <c r="A84" s="126"/>
      <c r="B84" s="127"/>
      <c r="C84" s="128"/>
      <c r="D84" s="128"/>
      <c r="E84" s="129"/>
      <c r="F84" s="128"/>
      <c r="G84" s="130"/>
      <c r="H84" s="131"/>
      <c r="I84" s="131"/>
      <c r="J84" s="131"/>
      <c r="K84" s="131"/>
      <c r="L84" s="38"/>
      <c r="M84" s="38"/>
      <c r="N84" s="38"/>
      <c r="O84" s="132"/>
      <c r="Q84" s="149"/>
      <c r="R84" s="147"/>
      <c r="S84" s="148"/>
    </row>
    <row r="85" spans="1:19">
      <c r="A85" s="126"/>
      <c r="B85" s="127"/>
      <c r="C85" s="128"/>
      <c r="D85" s="128"/>
      <c r="E85" s="129"/>
      <c r="F85" s="128"/>
      <c r="G85" s="130"/>
      <c r="H85" s="131"/>
      <c r="I85" s="131"/>
      <c r="J85" s="131"/>
      <c r="K85" s="131"/>
      <c r="L85" s="38"/>
      <c r="M85" s="38"/>
      <c r="N85" s="38"/>
      <c r="O85" s="132"/>
      <c r="Q85" s="149"/>
      <c r="R85" s="147"/>
      <c r="S85" s="148"/>
    </row>
    <row r="86" spans="1:19">
      <c r="A86" s="126"/>
      <c r="B86" s="127"/>
      <c r="C86" s="128"/>
      <c r="D86" s="128"/>
      <c r="E86" s="129"/>
      <c r="F86" s="128"/>
      <c r="G86" s="130"/>
      <c r="H86" s="131"/>
      <c r="I86" s="131"/>
      <c r="J86" s="131"/>
      <c r="K86" s="131"/>
      <c r="L86" s="38"/>
      <c r="M86" s="38"/>
      <c r="N86" s="38"/>
      <c r="O86" s="132"/>
      <c r="Q86" s="149"/>
      <c r="R86" s="147"/>
      <c r="S86" s="148"/>
    </row>
    <row r="87" spans="1:19">
      <c r="A87" s="126"/>
      <c r="B87" s="127"/>
      <c r="C87" s="128"/>
      <c r="D87" s="128"/>
      <c r="E87" s="129"/>
      <c r="F87" s="128"/>
      <c r="G87" s="130"/>
      <c r="H87" s="131"/>
      <c r="I87" s="131"/>
      <c r="J87" s="131"/>
      <c r="K87" s="131"/>
      <c r="L87" s="38"/>
      <c r="M87" s="38"/>
      <c r="N87" s="38"/>
      <c r="O87" s="132"/>
      <c r="Q87" s="149"/>
      <c r="R87" s="147"/>
      <c r="S87" s="148"/>
    </row>
    <row r="88" spans="1:19">
      <c r="A88" s="126"/>
      <c r="B88" s="127"/>
      <c r="C88" s="128"/>
      <c r="D88" s="128"/>
      <c r="E88" s="129"/>
      <c r="F88" s="128"/>
      <c r="G88" s="130"/>
      <c r="H88" s="131"/>
      <c r="I88" s="131"/>
      <c r="J88" s="131"/>
      <c r="K88" s="131"/>
      <c r="L88" s="38"/>
      <c r="M88" s="38"/>
      <c r="N88" s="38"/>
      <c r="O88" s="132"/>
      <c r="Q88" s="149"/>
      <c r="R88" s="147"/>
      <c r="S88" s="148"/>
    </row>
    <row r="89" spans="1:19">
      <c r="A89" s="126"/>
      <c r="B89" s="127"/>
      <c r="C89" s="128"/>
      <c r="D89" s="128"/>
      <c r="E89" s="129"/>
      <c r="F89" s="128"/>
      <c r="G89" s="130"/>
      <c r="H89" s="131"/>
      <c r="I89" s="131"/>
      <c r="J89" s="131"/>
      <c r="K89" s="131"/>
      <c r="L89" s="38"/>
      <c r="M89" s="38"/>
      <c r="N89" s="38"/>
      <c r="O89" s="132"/>
      <c r="Q89" s="149"/>
      <c r="R89" s="147"/>
      <c r="S89" s="148"/>
    </row>
    <row r="90" spans="1:19">
      <c r="A90" s="126"/>
      <c r="B90" s="127"/>
      <c r="C90" s="128"/>
      <c r="D90" s="128"/>
      <c r="E90" s="129"/>
      <c r="F90" s="128"/>
      <c r="G90" s="130"/>
      <c r="H90" s="131"/>
      <c r="I90" s="131"/>
      <c r="J90" s="131"/>
      <c r="K90" s="131"/>
      <c r="L90" s="38"/>
      <c r="M90" s="38"/>
      <c r="N90" s="38"/>
      <c r="O90" s="132"/>
      <c r="Q90" s="149"/>
      <c r="R90" s="147"/>
      <c r="S90" s="148"/>
    </row>
    <row r="91" spans="1:19">
      <c r="A91" s="126"/>
      <c r="B91" s="127"/>
      <c r="C91" s="128"/>
      <c r="D91" s="128"/>
      <c r="E91" s="129"/>
      <c r="F91" s="128"/>
      <c r="G91" s="130"/>
      <c r="H91" s="131"/>
      <c r="I91" s="131"/>
      <c r="J91" s="131"/>
      <c r="K91" s="131"/>
      <c r="L91" s="38"/>
      <c r="M91" s="38"/>
      <c r="N91" s="38"/>
      <c r="O91" s="132"/>
      <c r="Q91" s="149"/>
      <c r="R91" s="147"/>
      <c r="S91" s="148"/>
    </row>
    <row r="92" spans="1:19">
      <c r="A92" s="126"/>
      <c r="B92" s="127"/>
      <c r="C92" s="128"/>
      <c r="D92" s="128"/>
      <c r="E92" s="129"/>
      <c r="F92" s="128"/>
      <c r="G92" s="130"/>
      <c r="H92" s="131"/>
      <c r="I92" s="131"/>
      <c r="J92" s="131"/>
      <c r="K92" s="131"/>
      <c r="L92" s="38"/>
      <c r="M92" s="38"/>
      <c r="N92" s="38"/>
      <c r="O92" s="132"/>
      <c r="Q92" s="149"/>
      <c r="R92" s="147"/>
      <c r="S92" s="148"/>
    </row>
    <row r="93" spans="1:19">
      <c r="A93" s="126"/>
      <c r="B93" s="127"/>
      <c r="C93" s="128"/>
      <c r="D93" s="128"/>
      <c r="E93" s="129"/>
      <c r="F93" s="128"/>
      <c r="G93" s="130"/>
      <c r="H93" s="131"/>
      <c r="I93" s="131"/>
      <c r="J93" s="131"/>
      <c r="K93" s="131"/>
      <c r="L93" s="38"/>
      <c r="M93" s="38"/>
      <c r="N93" s="38"/>
      <c r="O93" s="132"/>
      <c r="Q93" s="149"/>
      <c r="R93" s="147"/>
      <c r="S93" s="148"/>
    </row>
    <row r="94" spans="1:19">
      <c r="A94" s="126"/>
      <c r="B94" s="127"/>
      <c r="C94" s="128"/>
      <c r="D94" s="128"/>
      <c r="E94" s="129"/>
      <c r="F94" s="128"/>
      <c r="G94" s="130"/>
      <c r="H94" s="131"/>
      <c r="I94" s="131"/>
      <c r="J94" s="131"/>
      <c r="K94" s="131"/>
      <c r="L94" s="38"/>
      <c r="M94" s="38"/>
      <c r="N94" s="38"/>
      <c r="O94" s="132"/>
      <c r="Q94" s="149"/>
      <c r="R94" s="147"/>
      <c r="S94" s="148"/>
    </row>
    <row r="95" spans="1:19">
      <c r="A95" s="126"/>
      <c r="B95" s="127"/>
      <c r="C95" s="128"/>
      <c r="D95" s="128"/>
      <c r="E95" s="129"/>
      <c r="F95" s="128"/>
      <c r="G95" s="130"/>
      <c r="H95" s="131"/>
      <c r="I95" s="131"/>
      <c r="J95" s="131"/>
      <c r="K95" s="131"/>
      <c r="L95" s="38"/>
      <c r="M95" s="38"/>
      <c r="N95" s="38"/>
      <c r="O95" s="132"/>
      <c r="Q95" s="149"/>
      <c r="R95" s="147"/>
      <c r="S95" s="148"/>
    </row>
    <row r="96" spans="1:19">
      <c r="A96" s="126"/>
      <c r="B96" s="127"/>
      <c r="C96" s="128"/>
      <c r="D96" s="128"/>
      <c r="E96" s="129"/>
      <c r="F96" s="128"/>
      <c r="G96" s="130"/>
      <c r="H96" s="131"/>
      <c r="I96" s="131"/>
      <c r="J96" s="131"/>
      <c r="K96" s="131"/>
      <c r="L96" s="38"/>
      <c r="M96" s="38"/>
      <c r="N96" s="38"/>
      <c r="O96" s="132"/>
      <c r="Q96" s="149"/>
      <c r="R96" s="147"/>
      <c r="S96" s="148"/>
    </row>
    <row r="97" spans="1:19">
      <c r="A97" s="126"/>
      <c r="B97" s="127"/>
      <c r="C97" s="128"/>
      <c r="D97" s="128"/>
      <c r="E97" s="129"/>
      <c r="F97" s="128"/>
      <c r="G97" s="130"/>
      <c r="H97" s="131"/>
      <c r="I97" s="131"/>
      <c r="J97" s="131"/>
      <c r="K97" s="131"/>
      <c r="L97" s="38"/>
      <c r="M97" s="38"/>
      <c r="N97" s="38"/>
      <c r="O97" s="132"/>
      <c r="Q97" s="149"/>
      <c r="R97" s="147"/>
      <c r="S97" s="148"/>
    </row>
    <row r="98" spans="1:19">
      <c r="A98" s="126"/>
      <c r="B98" s="127"/>
      <c r="C98" s="128"/>
      <c r="D98" s="128"/>
      <c r="E98" s="129"/>
      <c r="F98" s="128"/>
      <c r="G98" s="130"/>
      <c r="H98" s="131"/>
      <c r="I98" s="131"/>
      <c r="J98" s="131"/>
      <c r="K98" s="131"/>
      <c r="L98" s="38"/>
      <c r="M98" s="38"/>
      <c r="N98" s="38"/>
      <c r="O98" s="132"/>
      <c r="Q98" s="149"/>
      <c r="R98" s="147"/>
      <c r="S98" s="148"/>
    </row>
    <row r="99" spans="1:19">
      <c r="A99" s="126"/>
      <c r="B99" s="127"/>
      <c r="C99" s="128"/>
      <c r="D99" s="128"/>
      <c r="E99" s="129"/>
      <c r="F99" s="128"/>
      <c r="G99" s="130"/>
      <c r="H99" s="131"/>
      <c r="I99" s="131"/>
      <c r="J99" s="131"/>
      <c r="K99" s="131"/>
      <c r="L99" s="38"/>
      <c r="M99" s="38"/>
      <c r="N99" s="38"/>
      <c r="O99" s="132"/>
      <c r="Q99" s="149"/>
      <c r="R99" s="147"/>
      <c r="S99" s="148"/>
    </row>
    <row r="100" spans="1:19">
      <c r="A100" s="126"/>
      <c r="B100" s="127"/>
      <c r="C100" s="128"/>
      <c r="D100" s="128"/>
      <c r="E100" s="129"/>
      <c r="F100" s="128"/>
      <c r="G100" s="130"/>
      <c r="H100" s="131"/>
      <c r="I100" s="131"/>
      <c r="J100" s="131"/>
      <c r="K100" s="131"/>
      <c r="L100" s="38"/>
      <c r="M100" s="38"/>
      <c r="N100" s="38"/>
      <c r="O100" s="132"/>
      <c r="Q100" s="149"/>
      <c r="R100" s="147"/>
      <c r="S100" s="148"/>
    </row>
    <row r="101" spans="1:19">
      <c r="A101" s="126"/>
      <c r="B101" s="127"/>
      <c r="C101" s="128"/>
      <c r="D101" s="128"/>
      <c r="E101" s="129"/>
      <c r="F101" s="128"/>
      <c r="G101" s="130"/>
      <c r="H101" s="131"/>
      <c r="I101" s="131"/>
      <c r="J101" s="131"/>
      <c r="K101" s="131"/>
      <c r="L101" s="38"/>
      <c r="M101" s="38"/>
      <c r="N101" s="38"/>
      <c r="O101" s="132"/>
      <c r="Q101" s="149"/>
      <c r="R101" s="147"/>
      <c r="S101" s="148"/>
    </row>
    <row r="102" spans="1:19">
      <c r="A102" s="126"/>
      <c r="B102" s="127"/>
      <c r="C102" s="128"/>
      <c r="D102" s="128"/>
      <c r="E102" s="129"/>
      <c r="F102" s="128"/>
      <c r="G102" s="130"/>
      <c r="H102" s="131"/>
      <c r="I102" s="131"/>
      <c r="J102" s="131"/>
      <c r="K102" s="131"/>
      <c r="L102" s="38"/>
      <c r="M102" s="38"/>
      <c r="N102" s="38"/>
      <c r="O102" s="132"/>
      <c r="Q102" s="149"/>
      <c r="R102" s="147"/>
      <c r="S102" s="148"/>
    </row>
    <row r="103" spans="1:19">
      <c r="A103" s="126"/>
      <c r="B103" s="127"/>
      <c r="C103" s="128"/>
      <c r="D103" s="128"/>
      <c r="E103" s="129"/>
      <c r="F103" s="128"/>
      <c r="G103" s="130"/>
      <c r="H103" s="131"/>
      <c r="I103" s="131"/>
      <c r="J103" s="131"/>
      <c r="K103" s="131"/>
      <c r="L103" s="38"/>
      <c r="M103" s="38"/>
      <c r="N103" s="38"/>
      <c r="O103" s="132"/>
      <c r="Q103" s="149"/>
      <c r="R103" s="147"/>
      <c r="S103" s="148"/>
    </row>
    <row r="104" spans="1:19">
      <c r="A104" s="126"/>
      <c r="B104" s="127"/>
      <c r="C104" s="128"/>
      <c r="D104" s="128"/>
      <c r="E104" s="129"/>
      <c r="F104" s="128"/>
      <c r="G104" s="130"/>
      <c r="H104" s="131"/>
      <c r="I104" s="131"/>
      <c r="J104" s="131"/>
      <c r="K104" s="131"/>
      <c r="L104" s="38"/>
      <c r="M104" s="38"/>
      <c r="N104" s="38"/>
      <c r="O104" s="132"/>
      <c r="Q104" s="149"/>
      <c r="R104" s="147"/>
      <c r="S104" s="148"/>
    </row>
    <row r="105" spans="1:19">
      <c r="A105" s="126"/>
      <c r="B105" s="127"/>
      <c r="C105" s="128"/>
      <c r="D105" s="128"/>
      <c r="E105" s="129"/>
      <c r="F105" s="128"/>
      <c r="G105" s="130"/>
      <c r="H105" s="131"/>
      <c r="I105" s="131"/>
      <c r="J105" s="131"/>
      <c r="K105" s="131"/>
      <c r="L105" s="38"/>
      <c r="M105" s="38"/>
      <c r="N105" s="38"/>
      <c r="O105" s="132"/>
      <c r="Q105" s="149"/>
      <c r="R105" s="147"/>
      <c r="S105" s="148"/>
    </row>
    <row r="106" spans="1:19">
      <c r="A106" s="126"/>
      <c r="B106" s="127"/>
      <c r="C106" s="128"/>
      <c r="D106" s="128"/>
      <c r="E106" s="129"/>
      <c r="F106" s="128"/>
      <c r="G106" s="130"/>
      <c r="H106" s="131"/>
      <c r="I106" s="131"/>
      <c r="J106" s="131"/>
      <c r="K106" s="131"/>
      <c r="L106" s="38"/>
      <c r="M106" s="38"/>
      <c r="N106" s="38"/>
      <c r="O106" s="132"/>
      <c r="Q106" s="149"/>
      <c r="R106" s="147"/>
      <c r="S106" s="148"/>
    </row>
    <row r="107" spans="1:19">
      <c r="A107" s="126"/>
      <c r="B107" s="127"/>
      <c r="C107" s="128"/>
      <c r="D107" s="128"/>
      <c r="E107" s="129"/>
      <c r="F107" s="128"/>
      <c r="G107" s="130"/>
      <c r="H107" s="131"/>
      <c r="I107" s="131"/>
      <c r="J107" s="131"/>
      <c r="K107" s="131"/>
      <c r="L107" s="38"/>
      <c r="M107" s="38"/>
      <c r="N107" s="38"/>
      <c r="O107" s="132"/>
      <c r="Q107" s="149"/>
      <c r="R107" s="147"/>
      <c r="S107" s="148"/>
    </row>
    <row r="108" spans="1:19">
      <c r="A108" s="126"/>
      <c r="B108" s="127"/>
      <c r="C108" s="128"/>
      <c r="D108" s="128"/>
      <c r="E108" s="129"/>
      <c r="F108" s="128"/>
      <c r="G108" s="130"/>
      <c r="H108" s="131"/>
      <c r="I108" s="131"/>
      <c r="J108" s="131"/>
      <c r="K108" s="131"/>
      <c r="L108" s="38"/>
      <c r="M108" s="38"/>
      <c r="N108" s="38"/>
      <c r="O108" s="132"/>
      <c r="Q108" s="149"/>
      <c r="R108" s="147"/>
      <c r="S108" s="148"/>
    </row>
    <row r="109" spans="1:19">
      <c r="A109" s="126"/>
      <c r="B109" s="127"/>
      <c r="C109" s="128"/>
      <c r="D109" s="128"/>
      <c r="E109" s="129"/>
      <c r="F109" s="128"/>
      <c r="G109" s="130"/>
      <c r="H109" s="131"/>
      <c r="I109" s="131"/>
      <c r="J109" s="131"/>
      <c r="K109" s="131"/>
      <c r="L109" s="38"/>
      <c r="M109" s="38"/>
      <c r="N109" s="38"/>
      <c r="O109" s="132"/>
      <c r="Q109" s="149"/>
      <c r="R109" s="147"/>
      <c r="S109" s="148"/>
    </row>
    <row r="110" spans="1:19">
      <c r="A110" s="126"/>
      <c r="B110" s="127"/>
      <c r="C110" s="128"/>
      <c r="D110" s="128"/>
      <c r="E110" s="129"/>
      <c r="F110" s="128"/>
      <c r="G110" s="130"/>
      <c r="H110" s="131"/>
      <c r="I110" s="131"/>
      <c r="J110" s="131"/>
      <c r="K110" s="131"/>
      <c r="L110" s="38"/>
      <c r="M110" s="38"/>
      <c r="N110" s="38"/>
      <c r="O110" s="132"/>
      <c r="Q110" s="149"/>
      <c r="R110" s="147"/>
      <c r="S110" s="148"/>
    </row>
    <row r="111" spans="1:19">
      <c r="A111" s="126"/>
      <c r="B111" s="127"/>
      <c r="C111" s="128"/>
      <c r="D111" s="128"/>
      <c r="E111" s="129"/>
      <c r="F111" s="128"/>
      <c r="G111" s="130"/>
      <c r="H111" s="131"/>
      <c r="I111" s="131"/>
      <c r="J111" s="131"/>
      <c r="K111" s="131"/>
      <c r="L111" s="38"/>
      <c r="M111" s="38"/>
      <c r="N111" s="38"/>
      <c r="O111" s="132"/>
      <c r="Q111" s="149"/>
      <c r="R111" s="147"/>
      <c r="S111" s="148"/>
    </row>
    <row r="112" spans="1:19">
      <c r="A112" s="126"/>
      <c r="B112" s="127"/>
      <c r="C112" s="128"/>
      <c r="D112" s="128"/>
      <c r="E112" s="129"/>
      <c r="F112" s="128"/>
      <c r="G112" s="130"/>
      <c r="H112" s="131"/>
      <c r="I112" s="131"/>
      <c r="J112" s="131"/>
      <c r="K112" s="131"/>
      <c r="L112" s="38"/>
      <c r="M112" s="38"/>
      <c r="N112" s="38"/>
      <c r="O112" s="132"/>
      <c r="Q112" s="149"/>
      <c r="R112" s="147"/>
      <c r="S112" s="148"/>
    </row>
    <row r="113" spans="1:19">
      <c r="A113" s="126"/>
      <c r="B113" s="127"/>
      <c r="C113" s="128"/>
      <c r="D113" s="128"/>
      <c r="E113" s="129"/>
      <c r="F113" s="128"/>
      <c r="G113" s="130"/>
      <c r="H113" s="131"/>
      <c r="I113" s="131"/>
      <c r="J113" s="131"/>
      <c r="K113" s="131"/>
      <c r="L113" s="38"/>
      <c r="M113" s="38"/>
      <c r="N113" s="38"/>
      <c r="O113" s="132"/>
      <c r="Q113" s="149"/>
      <c r="R113" s="147"/>
      <c r="S113" s="148"/>
    </row>
    <row r="114" spans="1:19">
      <c r="A114" s="126"/>
      <c r="B114" s="127"/>
      <c r="C114" s="128"/>
      <c r="D114" s="128"/>
      <c r="E114" s="129"/>
      <c r="F114" s="128"/>
      <c r="G114" s="130"/>
      <c r="H114" s="131"/>
      <c r="I114" s="131"/>
      <c r="J114" s="131"/>
      <c r="K114" s="131"/>
      <c r="L114" s="38"/>
      <c r="M114" s="38"/>
      <c r="N114" s="38"/>
      <c r="O114" s="132"/>
      <c r="Q114" s="149"/>
      <c r="R114" s="147"/>
      <c r="S114" s="148"/>
    </row>
    <row r="115" spans="1:19">
      <c r="A115" s="126"/>
      <c r="B115" s="127"/>
      <c r="C115" s="128"/>
      <c r="D115" s="128"/>
      <c r="E115" s="129"/>
      <c r="F115" s="128"/>
      <c r="G115" s="130"/>
      <c r="H115" s="131"/>
      <c r="I115" s="131"/>
      <c r="J115" s="131"/>
      <c r="K115" s="131"/>
      <c r="L115" s="38"/>
      <c r="M115" s="38"/>
      <c r="N115" s="38"/>
      <c r="O115" s="132"/>
      <c r="Q115" s="149"/>
      <c r="R115" s="147"/>
      <c r="S115" s="148"/>
    </row>
    <row r="116" spans="1:19">
      <c r="A116" s="126"/>
      <c r="B116" s="127"/>
      <c r="C116" s="128"/>
      <c r="D116" s="128"/>
      <c r="E116" s="129"/>
      <c r="F116" s="128"/>
      <c r="G116" s="130"/>
      <c r="H116" s="131"/>
      <c r="I116" s="131"/>
      <c r="J116" s="131"/>
      <c r="K116" s="131"/>
      <c r="L116" s="38"/>
      <c r="M116" s="38"/>
      <c r="N116" s="38"/>
      <c r="O116" s="132"/>
      <c r="Q116" s="149"/>
      <c r="R116" s="147"/>
      <c r="S116" s="148"/>
    </row>
    <row r="117" spans="1:19">
      <c r="A117" s="126"/>
      <c r="B117" s="127"/>
      <c r="C117" s="128"/>
      <c r="D117" s="128"/>
      <c r="E117" s="129"/>
      <c r="F117" s="128"/>
      <c r="G117" s="130"/>
      <c r="H117" s="131"/>
      <c r="I117" s="131"/>
      <c r="J117" s="131"/>
      <c r="K117" s="131"/>
      <c r="L117" s="38"/>
      <c r="M117" s="38"/>
      <c r="N117" s="38"/>
      <c r="O117" s="132"/>
      <c r="Q117" s="149"/>
      <c r="R117" s="147"/>
      <c r="S117" s="148"/>
    </row>
    <row r="118" spans="1:19">
      <c r="A118" s="126"/>
      <c r="B118" s="127"/>
      <c r="C118" s="128"/>
      <c r="D118" s="128"/>
      <c r="E118" s="129"/>
      <c r="F118" s="128"/>
      <c r="G118" s="130"/>
      <c r="H118" s="131"/>
      <c r="I118" s="131"/>
      <c r="J118" s="131"/>
      <c r="K118" s="131"/>
      <c r="L118" s="38"/>
      <c r="M118" s="38"/>
      <c r="N118" s="38"/>
      <c r="O118" s="132"/>
      <c r="Q118" s="149"/>
      <c r="R118" s="147"/>
      <c r="S118" s="148"/>
    </row>
    <row r="119" spans="1:19">
      <c r="A119" s="126"/>
      <c r="B119" s="127"/>
      <c r="C119" s="128"/>
      <c r="D119" s="128"/>
      <c r="E119" s="129"/>
      <c r="F119" s="128"/>
      <c r="G119" s="130"/>
      <c r="H119" s="131"/>
      <c r="I119" s="131"/>
      <c r="J119" s="131"/>
      <c r="K119" s="131"/>
      <c r="L119" s="38"/>
      <c r="M119" s="38"/>
      <c r="N119" s="38"/>
      <c r="O119" s="132"/>
      <c r="Q119" s="149"/>
      <c r="R119" s="147"/>
      <c r="S119" s="148"/>
    </row>
    <row r="120" spans="1:19">
      <c r="A120" s="126"/>
      <c r="B120" s="127"/>
      <c r="C120" s="128"/>
      <c r="D120" s="128"/>
      <c r="E120" s="129"/>
      <c r="F120" s="128"/>
      <c r="G120" s="130"/>
      <c r="H120" s="131"/>
      <c r="I120" s="131"/>
      <c r="J120" s="131"/>
      <c r="K120" s="131"/>
      <c r="L120" s="38"/>
      <c r="M120" s="38"/>
      <c r="N120" s="38"/>
      <c r="O120" s="132"/>
      <c r="Q120" s="149"/>
      <c r="R120" s="147"/>
      <c r="S120" s="148"/>
    </row>
    <row r="121" spans="1:19">
      <c r="A121" s="126"/>
      <c r="B121" s="127"/>
      <c r="C121" s="128"/>
      <c r="D121" s="128"/>
      <c r="E121" s="129"/>
      <c r="F121" s="128"/>
      <c r="G121" s="130"/>
      <c r="H121" s="131"/>
      <c r="I121" s="131"/>
      <c r="J121" s="131"/>
      <c r="K121" s="131"/>
      <c r="L121" s="38"/>
      <c r="M121" s="38"/>
      <c r="N121" s="38"/>
      <c r="O121" s="132"/>
      <c r="Q121" s="149"/>
      <c r="R121" s="147"/>
      <c r="S121" s="148"/>
    </row>
    <row r="122" spans="1:19">
      <c r="A122" s="126"/>
      <c r="B122" s="127"/>
      <c r="C122" s="128"/>
      <c r="D122" s="128"/>
      <c r="E122" s="129"/>
      <c r="F122" s="128"/>
      <c r="G122" s="130"/>
      <c r="H122" s="131"/>
      <c r="I122" s="131"/>
      <c r="J122" s="131"/>
      <c r="K122" s="131"/>
      <c r="L122" s="38"/>
      <c r="M122" s="38"/>
      <c r="N122" s="38"/>
      <c r="O122" s="132"/>
      <c r="Q122" s="149"/>
      <c r="R122" s="147"/>
      <c r="S122" s="148"/>
    </row>
    <row r="123" spans="1:19">
      <c r="A123" s="126"/>
      <c r="B123" s="127"/>
      <c r="C123" s="128"/>
      <c r="D123" s="128"/>
      <c r="E123" s="129"/>
      <c r="F123" s="128"/>
      <c r="G123" s="130"/>
      <c r="H123" s="131"/>
      <c r="I123" s="131"/>
      <c r="J123" s="131"/>
      <c r="K123" s="131"/>
      <c r="L123" s="38"/>
      <c r="M123" s="38"/>
      <c r="N123" s="38"/>
      <c r="O123" s="132"/>
      <c r="Q123" s="149"/>
      <c r="R123" s="147"/>
      <c r="S123" s="148"/>
    </row>
    <row r="124" spans="1:19">
      <c r="A124" s="126"/>
      <c r="B124" s="127"/>
      <c r="C124" s="128"/>
      <c r="D124" s="128"/>
      <c r="E124" s="129"/>
      <c r="F124" s="128"/>
      <c r="G124" s="130"/>
      <c r="H124" s="131"/>
      <c r="I124" s="131"/>
      <c r="J124" s="131"/>
      <c r="K124" s="131"/>
      <c r="L124" s="38"/>
      <c r="M124" s="38"/>
      <c r="N124" s="38"/>
      <c r="O124" s="132"/>
      <c r="Q124" s="149"/>
      <c r="R124" s="147"/>
      <c r="S124" s="148"/>
    </row>
    <row r="125" spans="1:19">
      <c r="A125" s="126"/>
      <c r="B125" s="127"/>
      <c r="C125" s="128"/>
      <c r="D125" s="128"/>
      <c r="E125" s="129"/>
      <c r="F125" s="128"/>
      <c r="G125" s="130"/>
      <c r="H125" s="131"/>
      <c r="I125" s="131"/>
      <c r="J125" s="131"/>
      <c r="K125" s="131"/>
      <c r="L125" s="38"/>
      <c r="M125" s="38"/>
      <c r="N125" s="38"/>
      <c r="O125" s="132"/>
      <c r="Q125" s="149"/>
      <c r="R125" s="147"/>
      <c r="S125" s="148"/>
    </row>
    <row r="126" spans="1:19">
      <c r="A126" s="126"/>
      <c r="B126" s="127"/>
      <c r="C126" s="128"/>
      <c r="D126" s="128"/>
      <c r="E126" s="129"/>
      <c r="F126" s="128"/>
      <c r="G126" s="130"/>
      <c r="H126" s="131"/>
      <c r="I126" s="131"/>
      <c r="J126" s="131"/>
      <c r="K126" s="131"/>
      <c r="L126" s="38"/>
      <c r="M126" s="38"/>
      <c r="N126" s="38"/>
      <c r="O126" s="132"/>
      <c r="Q126" s="149"/>
      <c r="R126" s="147"/>
      <c r="S126" s="148"/>
    </row>
    <row r="127" spans="1:19">
      <c r="A127" s="126"/>
      <c r="B127" s="127"/>
      <c r="C127" s="128"/>
      <c r="D127" s="128"/>
      <c r="E127" s="129"/>
      <c r="F127" s="128"/>
      <c r="G127" s="130"/>
      <c r="H127" s="131"/>
      <c r="I127" s="131"/>
      <c r="J127" s="131"/>
      <c r="K127" s="131"/>
      <c r="L127" s="38"/>
      <c r="M127" s="38"/>
      <c r="N127" s="38"/>
      <c r="O127" s="132"/>
      <c r="Q127" s="149"/>
      <c r="R127" s="147"/>
      <c r="S127" s="148"/>
    </row>
    <row r="128" spans="1:19">
      <c r="A128" s="126"/>
      <c r="B128" s="127"/>
      <c r="C128" s="128"/>
      <c r="D128" s="128"/>
      <c r="E128" s="129"/>
      <c r="F128" s="128"/>
      <c r="G128" s="130"/>
      <c r="H128" s="131"/>
      <c r="I128" s="131"/>
      <c r="J128" s="131"/>
      <c r="K128" s="131"/>
      <c r="L128" s="38"/>
      <c r="M128" s="38"/>
      <c r="N128" s="38"/>
      <c r="O128" s="132"/>
      <c r="Q128" s="149"/>
      <c r="R128" s="147"/>
      <c r="S128" s="148"/>
    </row>
    <row r="129" spans="1:19">
      <c r="A129" s="126"/>
      <c r="B129" s="127"/>
      <c r="C129" s="128"/>
      <c r="D129" s="128"/>
      <c r="E129" s="129"/>
      <c r="F129" s="128"/>
      <c r="G129" s="130"/>
      <c r="H129" s="131"/>
      <c r="I129" s="131"/>
      <c r="J129" s="131"/>
      <c r="K129" s="131"/>
      <c r="L129" s="38"/>
      <c r="M129" s="38"/>
      <c r="N129" s="38"/>
      <c r="O129" s="132"/>
      <c r="Q129" s="149"/>
      <c r="R129" s="147"/>
      <c r="S129" s="148"/>
    </row>
    <row r="130" spans="1:19">
      <c r="A130" s="126"/>
      <c r="B130" s="127"/>
      <c r="C130" s="128"/>
      <c r="D130" s="128"/>
      <c r="E130" s="129"/>
      <c r="F130" s="128"/>
      <c r="G130" s="130"/>
      <c r="H130" s="131"/>
      <c r="I130" s="131"/>
      <c r="J130" s="131"/>
      <c r="K130" s="131"/>
      <c r="L130" s="38"/>
      <c r="M130" s="38"/>
      <c r="N130" s="38"/>
      <c r="O130" s="132"/>
      <c r="Q130" s="149"/>
      <c r="R130" s="147"/>
      <c r="S130" s="148"/>
    </row>
    <row r="131" spans="1:19">
      <c r="A131" s="126"/>
      <c r="B131" s="127"/>
      <c r="C131" s="128"/>
      <c r="D131" s="128"/>
      <c r="E131" s="129"/>
      <c r="F131" s="128"/>
      <c r="G131" s="130"/>
      <c r="H131" s="131"/>
      <c r="I131" s="131"/>
      <c r="J131" s="131"/>
      <c r="K131" s="131"/>
      <c r="L131" s="38"/>
      <c r="M131" s="38"/>
      <c r="N131" s="38"/>
      <c r="O131" s="132"/>
      <c r="Q131" s="149"/>
      <c r="R131" s="147"/>
      <c r="S131" s="148"/>
    </row>
    <row r="132" spans="1:19">
      <c r="A132" s="126"/>
      <c r="B132" s="127"/>
      <c r="C132" s="128"/>
      <c r="D132" s="128"/>
      <c r="E132" s="129"/>
      <c r="F132" s="128"/>
      <c r="G132" s="130"/>
      <c r="H132" s="131"/>
      <c r="I132" s="131"/>
      <c r="J132" s="131"/>
      <c r="K132" s="131"/>
      <c r="L132" s="38"/>
      <c r="M132" s="38"/>
      <c r="N132" s="38"/>
      <c r="O132" s="132"/>
      <c r="Q132" s="149"/>
      <c r="R132" s="147"/>
      <c r="S132" s="148"/>
    </row>
    <row r="133" spans="1:19">
      <c r="A133" s="126"/>
      <c r="B133" s="127"/>
      <c r="C133" s="128"/>
      <c r="D133" s="128"/>
      <c r="E133" s="129"/>
      <c r="F133" s="128"/>
      <c r="G133" s="130"/>
      <c r="H133" s="131"/>
      <c r="I133" s="131"/>
      <c r="J133" s="131"/>
      <c r="K133" s="131"/>
      <c r="L133" s="38"/>
      <c r="M133" s="38"/>
      <c r="N133" s="38"/>
      <c r="O133" s="132"/>
      <c r="Q133" s="149"/>
      <c r="R133" s="147"/>
      <c r="S133" s="148"/>
    </row>
    <row r="134" spans="1:19">
      <c r="A134" s="126"/>
      <c r="B134" s="127"/>
      <c r="C134" s="128"/>
      <c r="D134" s="128"/>
      <c r="E134" s="129"/>
      <c r="F134" s="128"/>
      <c r="G134" s="130"/>
      <c r="H134" s="131"/>
      <c r="I134" s="131"/>
      <c r="J134" s="131"/>
      <c r="K134" s="131"/>
      <c r="L134" s="38"/>
      <c r="M134" s="38"/>
      <c r="N134" s="38"/>
      <c r="O134" s="132"/>
      <c r="Q134" s="149"/>
      <c r="R134" s="147"/>
      <c r="S134" s="148"/>
    </row>
    <row r="135" spans="1:19">
      <c r="A135" s="126"/>
      <c r="B135" s="127"/>
      <c r="C135" s="128"/>
      <c r="D135" s="128"/>
      <c r="E135" s="129"/>
      <c r="F135" s="128"/>
      <c r="G135" s="130"/>
      <c r="H135" s="131"/>
      <c r="I135" s="131"/>
      <c r="J135" s="131"/>
      <c r="K135" s="131"/>
      <c r="L135" s="38"/>
      <c r="M135" s="38"/>
      <c r="N135" s="38"/>
      <c r="O135" s="132"/>
      <c r="Q135" s="149"/>
      <c r="R135" s="147"/>
      <c r="S135" s="148"/>
    </row>
    <row r="136" spans="1:19">
      <c r="A136" s="126"/>
      <c r="B136" s="127"/>
      <c r="C136" s="128"/>
      <c r="D136" s="128"/>
      <c r="E136" s="129"/>
      <c r="F136" s="128"/>
      <c r="G136" s="130"/>
      <c r="H136" s="131"/>
      <c r="I136" s="131"/>
      <c r="J136" s="131"/>
      <c r="K136" s="131"/>
      <c r="L136" s="38"/>
      <c r="M136" s="38"/>
      <c r="N136" s="38"/>
      <c r="O136" s="132"/>
      <c r="Q136" s="149"/>
      <c r="R136" s="147"/>
      <c r="S136" s="148"/>
    </row>
    <row r="137" spans="1:19">
      <c r="A137" s="126"/>
      <c r="B137" s="127"/>
      <c r="C137" s="128"/>
      <c r="D137" s="128"/>
      <c r="E137" s="129"/>
      <c r="F137" s="128"/>
      <c r="G137" s="130"/>
      <c r="H137" s="131"/>
      <c r="I137" s="131"/>
      <c r="J137" s="131"/>
      <c r="K137" s="131"/>
      <c r="L137" s="38"/>
      <c r="M137" s="38"/>
      <c r="N137" s="38"/>
      <c r="O137" s="132"/>
      <c r="Q137" s="149"/>
      <c r="R137" s="147"/>
      <c r="S137" s="148"/>
    </row>
    <row r="138" spans="1:19">
      <c r="A138" s="126"/>
      <c r="B138" s="127"/>
      <c r="C138" s="128"/>
      <c r="D138" s="128"/>
      <c r="E138" s="129"/>
      <c r="F138" s="128"/>
      <c r="G138" s="130"/>
      <c r="H138" s="131"/>
      <c r="I138" s="131"/>
      <c r="J138" s="131"/>
      <c r="K138" s="131"/>
      <c r="L138" s="38"/>
      <c r="M138" s="38"/>
      <c r="N138" s="38"/>
      <c r="O138" s="132"/>
      <c r="Q138" s="149"/>
      <c r="R138" s="147"/>
      <c r="S138" s="148"/>
    </row>
    <row r="139" spans="1:19">
      <c r="A139" s="126"/>
      <c r="B139" s="127"/>
      <c r="C139" s="128"/>
      <c r="D139" s="128"/>
      <c r="E139" s="129"/>
      <c r="F139" s="128"/>
      <c r="G139" s="130"/>
      <c r="H139" s="131"/>
      <c r="I139" s="131"/>
      <c r="J139" s="131"/>
      <c r="K139" s="131"/>
      <c r="L139" s="38"/>
      <c r="M139" s="38"/>
      <c r="N139" s="38"/>
      <c r="O139" s="132"/>
      <c r="Q139" s="149"/>
      <c r="R139" s="147"/>
      <c r="S139" s="148"/>
    </row>
    <row r="140" spans="1:19">
      <c r="A140" s="126"/>
      <c r="B140" s="127"/>
      <c r="C140" s="128"/>
      <c r="D140" s="128"/>
      <c r="E140" s="129"/>
      <c r="F140" s="128"/>
      <c r="G140" s="130"/>
      <c r="H140" s="131"/>
      <c r="I140" s="131"/>
      <c r="J140" s="131"/>
      <c r="K140" s="131"/>
      <c r="L140" s="38"/>
      <c r="M140" s="38"/>
      <c r="N140" s="38"/>
      <c r="O140" s="132"/>
      <c r="Q140" s="149"/>
      <c r="R140" s="147"/>
      <c r="S140" s="148"/>
    </row>
    <row r="141" spans="1:19">
      <c r="A141" s="126"/>
      <c r="B141" s="127"/>
      <c r="C141" s="128"/>
      <c r="D141" s="128"/>
      <c r="E141" s="129"/>
      <c r="F141" s="128"/>
      <c r="G141" s="130"/>
      <c r="H141" s="131"/>
      <c r="I141" s="131"/>
      <c r="J141" s="131"/>
      <c r="K141" s="131"/>
      <c r="L141" s="38"/>
      <c r="M141" s="38"/>
      <c r="N141" s="38"/>
      <c r="O141" s="132"/>
      <c r="Q141" s="149"/>
      <c r="R141" s="147"/>
      <c r="S141" s="148"/>
    </row>
    <row r="142" spans="1:19">
      <c r="A142" s="126"/>
      <c r="B142" s="127"/>
      <c r="C142" s="128"/>
      <c r="D142" s="128"/>
      <c r="E142" s="129"/>
      <c r="F142" s="128"/>
      <c r="G142" s="130"/>
      <c r="H142" s="131"/>
      <c r="I142" s="131"/>
      <c r="J142" s="131"/>
      <c r="K142" s="131"/>
      <c r="L142" s="38"/>
      <c r="M142" s="38"/>
      <c r="N142" s="38"/>
      <c r="O142" s="132"/>
      <c r="Q142" s="149"/>
      <c r="R142" s="147"/>
      <c r="S142" s="148"/>
    </row>
    <row r="143" spans="1:19">
      <c r="A143" s="126"/>
      <c r="B143" s="127"/>
      <c r="C143" s="128"/>
      <c r="D143" s="128"/>
      <c r="E143" s="129"/>
      <c r="F143" s="128"/>
      <c r="G143" s="130"/>
      <c r="H143" s="131"/>
      <c r="I143" s="131"/>
      <c r="J143" s="131"/>
      <c r="K143" s="131"/>
      <c r="L143" s="38"/>
      <c r="M143" s="38"/>
      <c r="N143" s="38"/>
      <c r="O143" s="132"/>
      <c r="Q143" s="149"/>
      <c r="R143" s="147"/>
      <c r="S143" s="148"/>
    </row>
    <row r="144" spans="1:19">
      <c r="A144" s="126"/>
      <c r="B144" s="127"/>
      <c r="C144" s="128"/>
      <c r="D144" s="128"/>
      <c r="E144" s="129"/>
      <c r="F144" s="128"/>
      <c r="G144" s="130"/>
      <c r="H144" s="131"/>
      <c r="I144" s="131"/>
      <c r="J144" s="131"/>
      <c r="K144" s="131"/>
      <c r="L144" s="38"/>
      <c r="M144" s="38"/>
      <c r="N144" s="38"/>
      <c r="O144" s="132"/>
      <c r="Q144" s="149"/>
      <c r="R144" s="147"/>
      <c r="S144" s="148"/>
    </row>
    <row r="145" spans="1:19">
      <c r="A145" s="126"/>
      <c r="B145" s="127"/>
      <c r="C145" s="128"/>
      <c r="D145" s="128"/>
      <c r="E145" s="129"/>
      <c r="F145" s="128"/>
      <c r="G145" s="130"/>
      <c r="H145" s="131"/>
      <c r="I145" s="131"/>
      <c r="J145" s="131"/>
      <c r="K145" s="131"/>
      <c r="L145" s="38"/>
      <c r="M145" s="38"/>
      <c r="N145" s="38"/>
      <c r="O145" s="132"/>
      <c r="Q145" s="149"/>
      <c r="R145" s="147"/>
      <c r="S145" s="148"/>
    </row>
    <row r="146" spans="1:19">
      <c r="A146" s="126"/>
      <c r="B146" s="127"/>
      <c r="C146" s="128"/>
      <c r="D146" s="128"/>
      <c r="E146" s="129"/>
      <c r="F146" s="128"/>
      <c r="G146" s="130"/>
      <c r="H146" s="131"/>
      <c r="I146" s="131"/>
      <c r="J146" s="131"/>
      <c r="K146" s="131"/>
      <c r="L146" s="38"/>
      <c r="M146" s="38"/>
      <c r="N146" s="38"/>
      <c r="O146" s="132"/>
      <c r="Q146" s="149"/>
      <c r="R146" s="147"/>
      <c r="S146" s="148"/>
    </row>
    <row r="147" spans="1:19">
      <c r="A147" s="126"/>
      <c r="B147" s="127"/>
      <c r="C147" s="128"/>
      <c r="D147" s="128"/>
      <c r="E147" s="129"/>
      <c r="F147" s="128"/>
      <c r="G147" s="130"/>
      <c r="H147" s="131"/>
      <c r="I147" s="131"/>
      <c r="J147" s="131"/>
      <c r="K147" s="131"/>
      <c r="L147" s="38"/>
      <c r="M147" s="38"/>
      <c r="N147" s="38"/>
      <c r="O147" s="132"/>
      <c r="Q147" s="149"/>
      <c r="R147" s="147"/>
      <c r="S147" s="148"/>
    </row>
    <row r="148" spans="1:19">
      <c r="A148" s="126"/>
      <c r="B148" s="127"/>
      <c r="C148" s="128"/>
      <c r="D148" s="128"/>
      <c r="E148" s="129"/>
      <c r="F148" s="128"/>
      <c r="G148" s="130"/>
      <c r="H148" s="131"/>
      <c r="I148" s="131"/>
      <c r="J148" s="131"/>
      <c r="K148" s="131"/>
      <c r="L148" s="38"/>
      <c r="M148" s="38"/>
      <c r="N148" s="38"/>
      <c r="O148" s="132"/>
      <c r="Q148" s="149"/>
      <c r="R148" s="147"/>
      <c r="S148" s="148"/>
    </row>
    <row r="149" spans="1:19">
      <c r="A149" s="126"/>
      <c r="B149" s="127"/>
      <c r="C149" s="128"/>
      <c r="D149" s="128"/>
      <c r="E149" s="129"/>
      <c r="F149" s="128"/>
      <c r="G149" s="130"/>
      <c r="H149" s="131"/>
      <c r="I149" s="131"/>
      <c r="J149" s="131"/>
      <c r="K149" s="131"/>
      <c r="L149" s="38"/>
      <c r="M149" s="38"/>
      <c r="N149" s="38"/>
      <c r="O149" s="132"/>
      <c r="Q149" s="149"/>
      <c r="R149" s="147"/>
      <c r="S149" s="148"/>
    </row>
    <row r="150" spans="1:19">
      <c r="A150" s="126"/>
      <c r="B150" s="127"/>
      <c r="C150" s="128"/>
      <c r="D150" s="128"/>
      <c r="E150" s="129"/>
      <c r="F150" s="128"/>
      <c r="G150" s="130"/>
      <c r="H150" s="131"/>
      <c r="I150" s="131"/>
      <c r="J150" s="131"/>
      <c r="K150" s="131"/>
      <c r="L150" s="38"/>
      <c r="M150" s="38"/>
      <c r="N150" s="38"/>
      <c r="O150" s="132"/>
      <c r="Q150" s="149"/>
      <c r="R150" s="147"/>
      <c r="S150" s="148"/>
    </row>
    <row r="151" spans="1:19">
      <c r="A151" s="126"/>
      <c r="B151" s="127"/>
      <c r="C151" s="128"/>
      <c r="D151" s="128"/>
      <c r="E151" s="129"/>
      <c r="F151" s="128"/>
      <c r="G151" s="130"/>
      <c r="H151" s="131"/>
      <c r="I151" s="131"/>
      <c r="J151" s="131"/>
      <c r="K151" s="131"/>
      <c r="L151" s="38"/>
      <c r="M151" s="38"/>
      <c r="N151" s="38"/>
      <c r="O151" s="132"/>
      <c r="Q151" s="149"/>
      <c r="R151" s="147"/>
      <c r="S151" s="148"/>
    </row>
    <row r="152" spans="1:19">
      <c r="A152" s="126"/>
      <c r="B152" s="127"/>
      <c r="C152" s="128"/>
      <c r="D152" s="128"/>
      <c r="E152" s="129"/>
      <c r="F152" s="128"/>
      <c r="G152" s="130"/>
      <c r="H152" s="131"/>
      <c r="I152" s="131"/>
      <c r="J152" s="131"/>
      <c r="K152" s="131"/>
      <c r="L152" s="38"/>
      <c r="M152" s="38"/>
      <c r="N152" s="38"/>
      <c r="O152" s="132"/>
      <c r="Q152" s="149"/>
      <c r="R152" s="147"/>
      <c r="S152" s="148"/>
    </row>
    <row r="153" spans="1:19">
      <c r="A153" s="126"/>
      <c r="B153" s="127"/>
      <c r="C153" s="128"/>
      <c r="D153" s="128"/>
      <c r="E153" s="129"/>
      <c r="F153" s="128"/>
      <c r="G153" s="130"/>
      <c r="H153" s="131"/>
      <c r="I153" s="131"/>
      <c r="J153" s="131"/>
      <c r="K153" s="131"/>
      <c r="L153" s="38"/>
      <c r="M153" s="38"/>
      <c r="N153" s="38"/>
      <c r="O153" s="132"/>
      <c r="Q153" s="149"/>
      <c r="R153" s="147"/>
      <c r="S153" s="148"/>
    </row>
    <row r="154" spans="1:19">
      <c r="A154" s="126"/>
      <c r="B154" s="127"/>
      <c r="C154" s="128"/>
      <c r="D154" s="128"/>
      <c r="E154" s="129"/>
      <c r="F154" s="128"/>
      <c r="G154" s="130"/>
      <c r="H154" s="131"/>
      <c r="I154" s="131"/>
      <c r="J154" s="131"/>
      <c r="K154" s="131"/>
      <c r="L154" s="38"/>
      <c r="M154" s="38"/>
      <c r="N154" s="38"/>
      <c r="O154" s="132"/>
      <c r="Q154" s="149"/>
      <c r="R154" s="147"/>
      <c r="S154" s="148"/>
    </row>
    <row r="155" spans="1:19">
      <c r="A155" s="126"/>
      <c r="B155" s="127"/>
      <c r="C155" s="128"/>
      <c r="D155" s="128"/>
      <c r="E155" s="129"/>
      <c r="F155" s="128"/>
      <c r="G155" s="130"/>
      <c r="H155" s="131"/>
      <c r="I155" s="131"/>
      <c r="J155" s="131"/>
      <c r="K155" s="131"/>
      <c r="L155" s="38"/>
      <c r="M155" s="38"/>
      <c r="N155" s="38"/>
      <c r="O155" s="132"/>
      <c r="Q155" s="149"/>
      <c r="R155" s="147"/>
      <c r="S155" s="148"/>
    </row>
    <row r="156" spans="1:19">
      <c r="A156" s="126"/>
      <c r="B156" s="127"/>
      <c r="C156" s="128"/>
      <c r="D156" s="128"/>
      <c r="E156" s="129"/>
      <c r="F156" s="128"/>
      <c r="G156" s="130"/>
      <c r="H156" s="131"/>
      <c r="I156" s="131"/>
      <c r="J156" s="131"/>
      <c r="K156" s="131"/>
      <c r="L156" s="38"/>
      <c r="M156" s="38"/>
      <c r="N156" s="38"/>
      <c r="O156" s="132"/>
      <c r="Q156" s="149"/>
      <c r="R156" s="147"/>
      <c r="S156" s="148"/>
    </row>
    <row r="157" spans="1:19">
      <c r="A157" s="126"/>
      <c r="B157" s="127"/>
      <c r="C157" s="128"/>
      <c r="D157" s="128"/>
      <c r="E157" s="129"/>
      <c r="F157" s="128"/>
      <c r="G157" s="130"/>
      <c r="H157" s="131"/>
      <c r="I157" s="131"/>
      <c r="J157" s="131"/>
      <c r="K157" s="131"/>
      <c r="L157" s="38"/>
      <c r="M157" s="38"/>
      <c r="N157" s="38"/>
      <c r="O157" s="132"/>
      <c r="Q157" s="149"/>
      <c r="R157" s="147"/>
      <c r="S157" s="148"/>
    </row>
    <row r="158" spans="1:19">
      <c r="A158" s="126"/>
      <c r="B158" s="127"/>
      <c r="C158" s="128"/>
      <c r="D158" s="128"/>
      <c r="E158" s="129"/>
      <c r="F158" s="128"/>
      <c r="G158" s="130"/>
      <c r="H158" s="131"/>
      <c r="I158" s="131"/>
      <c r="J158" s="131"/>
      <c r="K158" s="131"/>
      <c r="L158" s="38"/>
      <c r="M158" s="38"/>
      <c r="N158" s="38"/>
      <c r="O158" s="132"/>
      <c r="Q158" s="149"/>
      <c r="R158" s="147"/>
      <c r="S158" s="148"/>
    </row>
    <row r="159" spans="1:19">
      <c r="A159" s="126"/>
      <c r="B159" s="127"/>
      <c r="C159" s="128"/>
      <c r="D159" s="128"/>
      <c r="E159" s="129"/>
      <c r="F159" s="128"/>
      <c r="G159" s="130"/>
      <c r="H159" s="131"/>
      <c r="I159" s="131"/>
      <c r="J159" s="131"/>
      <c r="K159" s="131"/>
      <c r="L159" s="38"/>
      <c r="M159" s="38"/>
      <c r="N159" s="38"/>
      <c r="O159" s="132"/>
      <c r="Q159" s="149"/>
      <c r="R159" s="147"/>
      <c r="S159" s="148"/>
    </row>
    <row r="160" spans="1:19">
      <c r="A160" s="126"/>
      <c r="B160" s="127"/>
      <c r="C160" s="128"/>
      <c r="D160" s="128"/>
      <c r="E160" s="129"/>
      <c r="F160" s="128"/>
      <c r="G160" s="130"/>
      <c r="H160" s="131"/>
      <c r="I160" s="131"/>
      <c r="J160" s="131"/>
      <c r="K160" s="131"/>
      <c r="L160" s="38"/>
      <c r="M160" s="38"/>
      <c r="N160" s="38"/>
      <c r="O160" s="132"/>
      <c r="Q160" s="149"/>
      <c r="R160" s="147"/>
      <c r="S160" s="148"/>
    </row>
    <row r="161" spans="1:19">
      <c r="A161" s="126"/>
      <c r="B161" s="127"/>
      <c r="C161" s="128"/>
      <c r="D161" s="128"/>
      <c r="E161" s="129"/>
      <c r="F161" s="128"/>
      <c r="G161" s="130"/>
      <c r="H161" s="131"/>
      <c r="I161" s="131"/>
      <c r="J161" s="131"/>
      <c r="K161" s="131"/>
      <c r="L161" s="38"/>
      <c r="M161" s="38"/>
      <c r="N161" s="38"/>
      <c r="O161" s="132"/>
      <c r="Q161" s="149"/>
      <c r="R161" s="147"/>
      <c r="S161" s="148"/>
    </row>
    <row r="162" spans="1:19">
      <c r="A162" s="126"/>
      <c r="B162" s="127"/>
      <c r="C162" s="128"/>
      <c r="D162" s="128"/>
      <c r="E162" s="129"/>
      <c r="F162" s="128"/>
      <c r="G162" s="130"/>
      <c r="H162" s="131"/>
      <c r="I162" s="131"/>
      <c r="J162" s="131"/>
      <c r="K162" s="131"/>
      <c r="L162" s="38"/>
      <c r="M162" s="38"/>
      <c r="N162" s="38"/>
      <c r="O162" s="132"/>
      <c r="Q162" s="149"/>
      <c r="R162" s="147"/>
      <c r="S162" s="148"/>
    </row>
    <row r="163" spans="1:19">
      <c r="A163" s="126"/>
      <c r="B163" s="127"/>
      <c r="C163" s="128"/>
      <c r="D163" s="128"/>
      <c r="E163" s="129"/>
      <c r="F163" s="128"/>
      <c r="G163" s="130"/>
      <c r="H163" s="131"/>
      <c r="I163" s="131"/>
      <c r="J163" s="131"/>
      <c r="K163" s="131"/>
      <c r="L163" s="38"/>
      <c r="M163" s="38"/>
      <c r="N163" s="38"/>
      <c r="O163" s="132"/>
      <c r="Q163" s="149"/>
      <c r="R163" s="147"/>
      <c r="S163" s="148"/>
    </row>
    <row r="164" spans="1:19">
      <c r="A164" s="126"/>
      <c r="B164" s="127"/>
      <c r="C164" s="128"/>
      <c r="D164" s="128"/>
      <c r="E164" s="129"/>
      <c r="F164" s="128"/>
      <c r="G164" s="130"/>
      <c r="H164" s="131"/>
      <c r="I164" s="131"/>
      <c r="J164" s="131"/>
      <c r="K164" s="131"/>
      <c r="L164" s="38"/>
      <c r="M164" s="38"/>
      <c r="N164" s="38"/>
      <c r="O164" s="132"/>
      <c r="Q164" s="149"/>
      <c r="R164" s="147"/>
      <c r="S164" s="148"/>
    </row>
    <row r="165" spans="1:19">
      <c r="A165" s="126"/>
      <c r="B165" s="127"/>
      <c r="C165" s="128"/>
      <c r="D165" s="128"/>
      <c r="E165" s="129"/>
      <c r="F165" s="128"/>
      <c r="G165" s="130"/>
      <c r="H165" s="131"/>
      <c r="I165" s="131"/>
      <c r="J165" s="131"/>
      <c r="K165" s="131"/>
      <c r="L165" s="38"/>
      <c r="M165" s="38"/>
      <c r="N165" s="38"/>
      <c r="O165" s="132"/>
      <c r="Q165" s="149"/>
      <c r="R165" s="147"/>
      <c r="S165" s="148"/>
    </row>
    <row r="166" spans="1:19">
      <c r="A166" s="126"/>
      <c r="B166" s="127"/>
      <c r="C166" s="128"/>
      <c r="D166" s="128"/>
      <c r="E166" s="129"/>
      <c r="F166" s="128"/>
      <c r="G166" s="130"/>
      <c r="H166" s="131"/>
      <c r="I166" s="131"/>
      <c r="J166" s="131"/>
      <c r="K166" s="131"/>
      <c r="L166" s="38"/>
      <c r="M166" s="38"/>
      <c r="N166" s="38"/>
      <c r="O166" s="132"/>
      <c r="Q166" s="149"/>
      <c r="R166" s="147"/>
      <c r="S166" s="148"/>
    </row>
    <row r="167" spans="1:19">
      <c r="A167" s="126"/>
      <c r="B167" s="127"/>
      <c r="C167" s="128"/>
      <c r="D167" s="128"/>
      <c r="E167" s="129"/>
      <c r="F167" s="128"/>
      <c r="G167" s="130"/>
      <c r="H167" s="131"/>
      <c r="I167" s="131"/>
      <c r="J167" s="131"/>
      <c r="K167" s="131"/>
      <c r="L167" s="38"/>
      <c r="M167" s="38"/>
      <c r="N167" s="38"/>
      <c r="O167" s="132"/>
      <c r="Q167" s="149"/>
      <c r="R167" s="147"/>
      <c r="S167" s="148"/>
    </row>
    <row r="168" spans="1:19">
      <c r="A168" s="126"/>
      <c r="B168" s="127"/>
      <c r="C168" s="128"/>
      <c r="D168" s="128"/>
      <c r="E168" s="129"/>
      <c r="F168" s="128"/>
      <c r="G168" s="130"/>
      <c r="H168" s="131"/>
      <c r="I168" s="131"/>
      <c r="J168" s="131"/>
      <c r="K168" s="131"/>
      <c r="L168" s="38"/>
      <c r="M168" s="38"/>
      <c r="N168" s="38"/>
      <c r="O168" s="132"/>
      <c r="Q168" s="149"/>
      <c r="R168" s="147"/>
      <c r="S168" s="148"/>
    </row>
    <row r="169" spans="1:19">
      <c r="A169" s="126"/>
      <c r="B169" s="127"/>
      <c r="C169" s="128"/>
      <c r="D169" s="128"/>
      <c r="E169" s="129"/>
      <c r="F169" s="128"/>
      <c r="G169" s="130"/>
      <c r="H169" s="131"/>
      <c r="I169" s="131"/>
      <c r="J169" s="131"/>
      <c r="K169" s="131"/>
      <c r="L169" s="38"/>
      <c r="M169" s="38"/>
      <c r="N169" s="38"/>
      <c r="O169" s="132"/>
      <c r="Q169" s="149"/>
      <c r="R169" s="147"/>
      <c r="S169" s="148"/>
    </row>
    <row r="170" spans="1:19">
      <c r="A170" s="126"/>
      <c r="B170" s="127"/>
      <c r="C170" s="128"/>
      <c r="D170" s="128"/>
      <c r="E170" s="129"/>
      <c r="F170" s="128"/>
      <c r="G170" s="130"/>
      <c r="H170" s="131"/>
      <c r="I170" s="131"/>
      <c r="J170" s="131"/>
      <c r="K170" s="131"/>
      <c r="L170" s="38"/>
      <c r="M170" s="38"/>
      <c r="N170" s="38"/>
      <c r="O170" s="132"/>
      <c r="Q170" s="149"/>
      <c r="R170" s="147"/>
      <c r="S170" s="148"/>
    </row>
    <row r="171" spans="1:19">
      <c r="A171" s="126"/>
      <c r="B171" s="127"/>
      <c r="C171" s="128"/>
      <c r="D171" s="128"/>
      <c r="E171" s="129"/>
      <c r="F171" s="128"/>
      <c r="G171" s="130"/>
      <c r="H171" s="131"/>
      <c r="I171" s="131"/>
      <c r="J171" s="131"/>
      <c r="K171" s="131"/>
      <c r="L171" s="38"/>
      <c r="M171" s="38"/>
      <c r="N171" s="38"/>
      <c r="O171" s="132"/>
      <c r="Q171" s="149"/>
      <c r="R171" s="147"/>
      <c r="S171" s="148"/>
    </row>
    <row r="172" spans="1:19">
      <c r="A172" s="126"/>
      <c r="B172" s="127"/>
      <c r="C172" s="128"/>
      <c r="D172" s="128"/>
      <c r="E172" s="129"/>
      <c r="F172" s="128"/>
      <c r="G172" s="130"/>
      <c r="H172" s="131"/>
      <c r="I172" s="131"/>
      <c r="J172" s="131"/>
      <c r="K172" s="131"/>
      <c r="L172" s="38"/>
      <c r="M172" s="38"/>
      <c r="N172" s="38"/>
      <c r="O172" s="132"/>
      <c r="Q172" s="149"/>
      <c r="R172" s="147"/>
      <c r="S172" s="148"/>
    </row>
    <row r="173" spans="1:19">
      <c r="A173" s="126"/>
      <c r="B173" s="127"/>
      <c r="C173" s="128"/>
      <c r="D173" s="128"/>
      <c r="E173" s="129"/>
      <c r="F173" s="128"/>
      <c r="G173" s="130"/>
      <c r="H173" s="131"/>
      <c r="I173" s="131"/>
      <c r="J173" s="131"/>
      <c r="K173" s="131"/>
      <c r="L173" s="38"/>
      <c r="M173" s="38"/>
      <c r="N173" s="38"/>
      <c r="O173" s="132"/>
      <c r="Q173" s="149"/>
      <c r="R173" s="147"/>
      <c r="S173" s="148"/>
    </row>
    <row r="174" spans="1:19">
      <c r="A174" s="126"/>
      <c r="B174" s="127"/>
      <c r="C174" s="128"/>
      <c r="D174" s="128"/>
      <c r="E174" s="129"/>
      <c r="F174" s="128"/>
      <c r="G174" s="130"/>
      <c r="H174" s="131"/>
      <c r="I174" s="131"/>
      <c r="J174" s="131"/>
      <c r="K174" s="131"/>
      <c r="L174" s="38"/>
      <c r="M174" s="38"/>
      <c r="N174" s="38"/>
      <c r="O174" s="132"/>
      <c r="Q174" s="149"/>
      <c r="R174" s="147"/>
      <c r="S174" s="148"/>
    </row>
    <row r="175" spans="1:19">
      <c r="A175" s="126"/>
      <c r="B175" s="127"/>
      <c r="C175" s="128"/>
      <c r="D175" s="128"/>
      <c r="E175" s="129"/>
      <c r="F175" s="128"/>
      <c r="G175" s="130"/>
      <c r="H175" s="131"/>
      <c r="I175" s="131"/>
      <c r="J175" s="131"/>
      <c r="K175" s="131"/>
      <c r="L175" s="38"/>
      <c r="M175" s="38"/>
      <c r="N175" s="38"/>
      <c r="O175" s="132"/>
      <c r="Q175" s="149"/>
      <c r="R175" s="147"/>
      <c r="S175" s="148"/>
    </row>
    <row r="176" spans="1:19">
      <c r="A176" s="126"/>
      <c r="B176" s="127"/>
      <c r="C176" s="128"/>
      <c r="D176" s="128"/>
      <c r="E176" s="129"/>
      <c r="F176" s="128"/>
      <c r="G176" s="130"/>
      <c r="H176" s="131"/>
      <c r="I176" s="131"/>
      <c r="J176" s="131"/>
      <c r="K176" s="131"/>
      <c r="L176" s="38"/>
      <c r="M176" s="38"/>
      <c r="N176" s="38"/>
      <c r="O176" s="132"/>
      <c r="Q176" s="149"/>
      <c r="R176" s="147"/>
      <c r="S176" s="148"/>
    </row>
    <row r="177" spans="1:19">
      <c r="A177" s="126"/>
      <c r="B177" s="127"/>
      <c r="C177" s="128"/>
      <c r="D177" s="128"/>
      <c r="E177" s="129"/>
      <c r="F177" s="128"/>
      <c r="G177" s="130"/>
      <c r="H177" s="131"/>
      <c r="I177" s="131"/>
      <c r="J177" s="131"/>
      <c r="K177" s="131"/>
      <c r="L177" s="38"/>
      <c r="M177" s="38"/>
      <c r="N177" s="38"/>
      <c r="O177" s="132"/>
      <c r="Q177" s="149"/>
      <c r="R177" s="147"/>
      <c r="S177" s="148"/>
    </row>
    <row r="178" spans="1:19">
      <c r="A178" s="126"/>
      <c r="B178" s="127"/>
      <c r="C178" s="128"/>
      <c r="D178" s="128"/>
      <c r="E178" s="129"/>
      <c r="F178" s="128"/>
      <c r="G178" s="130"/>
      <c r="H178" s="131"/>
      <c r="I178" s="131"/>
      <c r="J178" s="131"/>
      <c r="K178" s="131"/>
      <c r="L178" s="38"/>
      <c r="M178" s="38"/>
      <c r="N178" s="38"/>
      <c r="O178" s="132"/>
      <c r="Q178" s="149"/>
      <c r="R178" s="147"/>
      <c r="S178" s="148"/>
    </row>
    <row r="179" spans="1:19">
      <c r="A179" s="126"/>
      <c r="B179" s="127"/>
      <c r="C179" s="128"/>
      <c r="D179" s="128"/>
      <c r="E179" s="129"/>
      <c r="F179" s="128"/>
      <c r="G179" s="130"/>
      <c r="H179" s="131"/>
      <c r="I179" s="131"/>
      <c r="J179" s="131"/>
      <c r="K179" s="131"/>
      <c r="L179" s="38"/>
      <c r="M179" s="38"/>
      <c r="N179" s="38"/>
      <c r="O179" s="132"/>
      <c r="Q179" s="149"/>
      <c r="R179" s="147"/>
      <c r="S179" s="148"/>
    </row>
    <row r="180" spans="1:19">
      <c r="A180" s="126"/>
      <c r="B180" s="127"/>
      <c r="C180" s="128"/>
      <c r="D180" s="128"/>
      <c r="E180" s="129"/>
      <c r="F180" s="128"/>
      <c r="G180" s="130"/>
      <c r="H180" s="131"/>
      <c r="I180" s="131"/>
      <c r="J180" s="131"/>
      <c r="K180" s="131"/>
      <c r="L180" s="38"/>
      <c r="M180" s="38"/>
      <c r="N180" s="38"/>
      <c r="O180" s="132"/>
      <c r="Q180" s="149"/>
      <c r="R180" s="147"/>
      <c r="S180" s="148"/>
    </row>
    <row r="181" spans="1:19">
      <c r="A181" s="126"/>
      <c r="B181" s="127"/>
      <c r="C181" s="128"/>
      <c r="D181" s="128"/>
      <c r="E181" s="129"/>
      <c r="F181" s="128"/>
      <c r="G181" s="130"/>
      <c r="H181" s="131"/>
      <c r="I181" s="131"/>
      <c r="J181" s="131"/>
      <c r="K181" s="131"/>
      <c r="L181" s="38"/>
      <c r="M181" s="38"/>
      <c r="N181" s="38"/>
      <c r="O181" s="132"/>
      <c r="Q181" s="149"/>
      <c r="R181" s="147"/>
      <c r="S181" s="148"/>
    </row>
    <row r="182" spans="1:19">
      <c r="A182" s="126"/>
      <c r="B182" s="127"/>
      <c r="C182" s="128"/>
      <c r="D182" s="128"/>
      <c r="E182" s="129"/>
      <c r="F182" s="128"/>
      <c r="G182" s="130"/>
      <c r="H182" s="131"/>
      <c r="I182" s="131"/>
      <c r="J182" s="131"/>
      <c r="K182" s="131"/>
      <c r="L182" s="38"/>
      <c r="M182" s="38"/>
      <c r="N182" s="38"/>
      <c r="O182" s="132"/>
      <c r="Q182" s="149"/>
      <c r="R182" s="147"/>
      <c r="S182" s="148"/>
    </row>
    <row r="183" spans="1:19">
      <c r="A183" s="126"/>
      <c r="B183" s="127"/>
      <c r="C183" s="128"/>
      <c r="D183" s="128"/>
      <c r="E183" s="129"/>
      <c r="F183" s="128"/>
      <c r="G183" s="130"/>
      <c r="H183" s="131"/>
      <c r="I183" s="131"/>
      <c r="J183" s="131"/>
      <c r="K183" s="131"/>
      <c r="L183" s="38"/>
      <c r="M183" s="38"/>
      <c r="N183" s="38"/>
      <c r="O183" s="132"/>
      <c r="Q183" s="149"/>
      <c r="R183" s="147"/>
      <c r="S183" s="148"/>
    </row>
    <row r="184" spans="1:19">
      <c r="A184" s="126"/>
      <c r="B184" s="127"/>
      <c r="C184" s="128"/>
      <c r="D184" s="128"/>
      <c r="E184" s="129"/>
      <c r="F184" s="128"/>
      <c r="G184" s="130"/>
      <c r="H184" s="131"/>
      <c r="I184" s="131"/>
      <c r="J184" s="131"/>
      <c r="K184" s="131"/>
      <c r="L184" s="38"/>
      <c r="M184" s="38"/>
      <c r="N184" s="38"/>
      <c r="O184" s="132"/>
      <c r="Q184" s="149"/>
      <c r="R184" s="147"/>
      <c r="S184" s="148"/>
    </row>
    <row r="185" spans="1:19">
      <c r="A185" s="126"/>
      <c r="B185" s="127"/>
      <c r="C185" s="128"/>
      <c r="D185" s="128"/>
      <c r="E185" s="129"/>
      <c r="F185" s="128"/>
      <c r="G185" s="130"/>
      <c r="H185" s="131"/>
      <c r="I185" s="131"/>
      <c r="J185" s="131"/>
      <c r="K185" s="131"/>
      <c r="L185" s="38"/>
      <c r="M185" s="38"/>
      <c r="N185" s="38"/>
      <c r="O185" s="132"/>
      <c r="Q185" s="149"/>
      <c r="R185" s="147"/>
      <c r="S185" s="148"/>
    </row>
    <row r="186" spans="1:19">
      <c r="A186" s="126"/>
      <c r="B186" s="127"/>
      <c r="C186" s="128"/>
      <c r="D186" s="128"/>
      <c r="E186" s="129"/>
      <c r="F186" s="128"/>
      <c r="G186" s="130"/>
      <c r="H186" s="131"/>
      <c r="I186" s="131"/>
      <c r="J186" s="131"/>
      <c r="K186" s="131"/>
      <c r="L186" s="38"/>
      <c r="M186" s="38"/>
      <c r="N186" s="38"/>
      <c r="O186" s="132"/>
      <c r="Q186" s="149"/>
      <c r="R186" s="147"/>
      <c r="S186" s="148"/>
    </row>
    <row r="187" spans="1:19">
      <c r="A187" s="126"/>
      <c r="B187" s="127"/>
      <c r="C187" s="128"/>
      <c r="D187" s="128"/>
      <c r="E187" s="129"/>
      <c r="F187" s="128"/>
      <c r="G187" s="130"/>
      <c r="H187" s="131"/>
      <c r="I187" s="131"/>
      <c r="J187" s="131"/>
      <c r="K187" s="131"/>
      <c r="L187" s="38"/>
      <c r="M187" s="38"/>
      <c r="N187" s="38"/>
      <c r="O187" s="132"/>
      <c r="Q187" s="149"/>
      <c r="R187" s="147"/>
      <c r="S187" s="148"/>
    </row>
    <row r="188" spans="1:19">
      <c r="A188" s="126"/>
      <c r="B188" s="127"/>
      <c r="C188" s="128"/>
      <c r="D188" s="128"/>
      <c r="E188" s="129"/>
      <c r="F188" s="128"/>
      <c r="G188" s="130"/>
      <c r="H188" s="131"/>
      <c r="I188" s="131"/>
      <c r="J188" s="131"/>
      <c r="K188" s="131"/>
      <c r="L188" s="38"/>
      <c r="M188" s="38"/>
      <c r="N188" s="38"/>
      <c r="O188" s="132"/>
      <c r="Q188" s="149"/>
      <c r="R188" s="147"/>
      <c r="S188" s="148"/>
    </row>
    <row r="189" spans="1:19">
      <c r="A189" s="126"/>
      <c r="B189" s="127"/>
      <c r="C189" s="128"/>
      <c r="D189" s="128"/>
      <c r="E189" s="129"/>
      <c r="F189" s="128"/>
      <c r="G189" s="130"/>
      <c r="H189" s="131"/>
      <c r="I189" s="131"/>
      <c r="J189" s="131"/>
      <c r="K189" s="131"/>
      <c r="L189" s="38"/>
      <c r="M189" s="38"/>
      <c r="N189" s="38"/>
      <c r="O189" s="132"/>
      <c r="Q189" s="149"/>
      <c r="R189" s="147"/>
      <c r="S189" s="148"/>
    </row>
    <row r="190" spans="1:19">
      <c r="A190" s="126"/>
      <c r="B190" s="127"/>
      <c r="C190" s="128"/>
      <c r="D190" s="128"/>
      <c r="E190" s="129"/>
      <c r="F190" s="128"/>
      <c r="G190" s="130"/>
      <c r="H190" s="131"/>
      <c r="I190" s="131"/>
      <c r="J190" s="131"/>
      <c r="K190" s="131"/>
      <c r="L190" s="38"/>
      <c r="M190" s="38"/>
      <c r="N190" s="38"/>
      <c r="O190" s="132"/>
      <c r="Q190" s="149"/>
      <c r="R190" s="147"/>
      <c r="S190" s="148"/>
    </row>
    <row r="191" spans="1:19">
      <c r="A191" s="126"/>
      <c r="B191" s="127"/>
      <c r="C191" s="128"/>
      <c r="D191" s="128"/>
      <c r="E191" s="129"/>
      <c r="F191" s="128"/>
      <c r="G191" s="130"/>
      <c r="H191" s="131"/>
      <c r="I191" s="131"/>
      <c r="J191" s="131"/>
      <c r="K191" s="131"/>
      <c r="L191" s="38"/>
      <c r="M191" s="38"/>
      <c r="N191" s="38"/>
      <c r="O191" s="132"/>
      <c r="Q191" s="149"/>
      <c r="R191" s="147"/>
      <c r="S191" s="148"/>
    </row>
    <row r="192" spans="1:19">
      <c r="A192" s="126"/>
      <c r="B192" s="127"/>
      <c r="C192" s="128"/>
      <c r="D192" s="128"/>
      <c r="E192" s="129"/>
      <c r="F192" s="128"/>
      <c r="G192" s="130"/>
      <c r="H192" s="131"/>
      <c r="I192" s="131"/>
      <c r="J192" s="131"/>
      <c r="K192" s="131"/>
      <c r="L192" s="38"/>
      <c r="M192" s="38"/>
      <c r="N192" s="38"/>
      <c r="O192" s="132"/>
      <c r="Q192" s="149"/>
      <c r="R192" s="147"/>
      <c r="S192" s="148"/>
    </row>
    <row r="193" spans="1:19">
      <c r="A193" s="126"/>
      <c r="B193" s="127"/>
      <c r="C193" s="128"/>
      <c r="D193" s="128"/>
      <c r="E193" s="129"/>
      <c r="F193" s="128"/>
      <c r="G193" s="130"/>
      <c r="H193" s="131"/>
      <c r="I193" s="131"/>
      <c r="J193" s="131"/>
      <c r="K193" s="131"/>
      <c r="L193" s="38"/>
      <c r="M193" s="38"/>
      <c r="N193" s="38"/>
      <c r="O193" s="132"/>
      <c r="Q193" s="149"/>
      <c r="R193" s="147"/>
      <c r="S193" s="148"/>
    </row>
    <row r="194" spans="1:19">
      <c r="A194" s="126"/>
      <c r="B194" s="127"/>
      <c r="C194" s="128"/>
      <c r="D194" s="128"/>
      <c r="E194" s="129"/>
      <c r="F194" s="128"/>
      <c r="G194" s="130"/>
      <c r="H194" s="131"/>
      <c r="I194" s="131"/>
      <c r="J194" s="131"/>
      <c r="K194" s="131"/>
      <c r="L194" s="38"/>
      <c r="M194" s="38"/>
      <c r="N194" s="38"/>
      <c r="O194" s="132"/>
      <c r="Q194" s="149"/>
      <c r="R194" s="147"/>
      <c r="S194" s="148"/>
    </row>
    <row r="195" spans="1:19">
      <c r="A195" s="126"/>
      <c r="B195" s="127"/>
      <c r="C195" s="128"/>
      <c r="D195" s="128"/>
      <c r="E195" s="129"/>
      <c r="F195" s="128"/>
      <c r="G195" s="130"/>
      <c r="H195" s="131"/>
      <c r="I195" s="131"/>
      <c r="J195" s="131"/>
      <c r="K195" s="131"/>
      <c r="L195" s="38"/>
      <c r="M195" s="38"/>
      <c r="N195" s="38"/>
      <c r="O195" s="132"/>
      <c r="Q195" s="149"/>
      <c r="R195" s="147"/>
      <c r="S195" s="148"/>
    </row>
    <row r="196" spans="1:19">
      <c r="A196" s="126"/>
      <c r="B196" s="127"/>
      <c r="C196" s="128"/>
      <c r="D196" s="128"/>
      <c r="E196" s="129"/>
      <c r="F196" s="128"/>
      <c r="G196" s="130"/>
      <c r="H196" s="131"/>
      <c r="I196" s="131"/>
      <c r="J196" s="131"/>
      <c r="K196" s="131"/>
      <c r="L196" s="38"/>
      <c r="M196" s="38"/>
      <c r="N196" s="38"/>
      <c r="O196" s="132"/>
      <c r="Q196" s="149"/>
      <c r="R196" s="147"/>
      <c r="S196" s="148"/>
    </row>
    <row r="197" spans="1:19">
      <c r="A197" s="126"/>
      <c r="B197" s="127"/>
      <c r="C197" s="128"/>
      <c r="D197" s="128"/>
      <c r="E197" s="129"/>
      <c r="F197" s="128"/>
      <c r="G197" s="130"/>
      <c r="H197" s="131"/>
      <c r="I197" s="131"/>
      <c r="J197" s="131"/>
      <c r="K197" s="131"/>
      <c r="L197" s="38"/>
      <c r="M197" s="38"/>
      <c r="N197" s="38"/>
      <c r="O197" s="132"/>
      <c r="Q197" s="149"/>
      <c r="R197" s="147"/>
      <c r="S197" s="148"/>
    </row>
    <row r="198" spans="1:19">
      <c r="A198" s="126"/>
      <c r="B198" s="127"/>
      <c r="C198" s="128"/>
      <c r="D198" s="128"/>
      <c r="E198" s="129"/>
      <c r="F198" s="128"/>
      <c r="G198" s="130"/>
      <c r="H198" s="131"/>
      <c r="I198" s="131"/>
      <c r="J198" s="131"/>
      <c r="K198" s="131"/>
      <c r="L198" s="38"/>
      <c r="M198" s="38"/>
      <c r="N198" s="38"/>
      <c r="O198" s="132"/>
      <c r="Q198" s="149"/>
      <c r="R198" s="147"/>
      <c r="S198" s="148"/>
    </row>
    <row r="199" spans="1:19">
      <c r="A199" s="126"/>
      <c r="B199" s="127"/>
      <c r="C199" s="128"/>
      <c r="D199" s="128"/>
      <c r="E199" s="129"/>
      <c r="F199" s="128"/>
      <c r="G199" s="130"/>
      <c r="H199" s="131"/>
      <c r="I199" s="131"/>
      <c r="J199" s="131"/>
      <c r="K199" s="131"/>
      <c r="L199" s="38"/>
      <c r="M199" s="38"/>
      <c r="N199" s="38"/>
      <c r="O199" s="132"/>
      <c r="Q199" s="149"/>
      <c r="R199" s="147"/>
      <c r="S199" s="148"/>
    </row>
    <row r="200" spans="1:19">
      <c r="A200" s="126"/>
      <c r="B200" s="127"/>
      <c r="C200" s="128"/>
      <c r="D200" s="128"/>
      <c r="E200" s="129"/>
      <c r="F200" s="128"/>
      <c r="G200" s="130"/>
      <c r="H200" s="131"/>
      <c r="I200" s="131"/>
      <c r="J200" s="131"/>
      <c r="K200" s="131"/>
      <c r="L200" s="38"/>
      <c r="M200" s="38"/>
      <c r="N200" s="38"/>
      <c r="O200" s="132"/>
      <c r="Q200" s="149"/>
      <c r="R200" s="147"/>
      <c r="S200" s="148"/>
    </row>
    <row r="201" spans="1:19" ht="24" thickBot="1">
      <c r="A201" s="134"/>
      <c r="B201" s="135"/>
      <c r="C201" s="136"/>
      <c r="D201" s="136"/>
      <c r="E201" s="137"/>
      <c r="F201" s="136"/>
      <c r="G201" s="138"/>
      <c r="H201" s="139"/>
      <c r="I201" s="139"/>
      <c r="J201" s="139"/>
      <c r="K201" s="139"/>
      <c r="L201" s="140"/>
      <c r="M201" s="140"/>
      <c r="N201" s="140"/>
      <c r="O201" s="141"/>
      <c r="Q201" s="150"/>
      <c r="R201" s="151"/>
      <c r="S201" s="152"/>
    </row>
  </sheetData>
  <sheetProtection formatCells="0" formatColumns="0" formatRows="0" insertColumns="0" insertRows="0" insertHyperlinks="0" deleteColumns="0" deleteRows="0" sort="0" autoFilter="0" pivotTables="0"/>
  <autoFilter ref="A1:P19">
    <filterColumn colId="7">
      <filters>
        <filter val="Wouter"/>
      </filters>
    </filterColumn>
    <sortState ref="A5:P27">
      <sortCondition descending="1" ref="C2:C27"/>
      <sortCondition ref="D2:D27"/>
    </sortState>
  </autoFilter>
  <sortState ref="A2:BA25">
    <sortCondition ref="E2:E25"/>
  </sortState>
  <conditionalFormatting sqref="J51:M1048576 J1:K1 L35:M50 J2:M4 J5:L16 J17:K22 K23:K25 J23:J28">
    <cfRule type="colorScale" priority="36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G35:G1048576">
    <cfRule type="iconSet" priority="722">
      <iconSet iconSet="3TrafficLights2">
        <cfvo type="percent" val="0"/>
        <cfvo type="num" val="0"/>
        <cfvo type="num" val="8"/>
      </iconSet>
    </cfRule>
  </conditionalFormatting>
  <conditionalFormatting sqref="C2:C3">
    <cfRule type="iconSet" priority="723">
      <iconSet iconSet="3Flags">
        <cfvo type="percent" val="0"/>
        <cfvo type="percent" val="33"/>
        <cfvo type="percent" val="67"/>
      </iconSet>
    </cfRule>
  </conditionalFormatting>
  <conditionalFormatting sqref="L17:L25">
    <cfRule type="colorScale" priority="66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J2:K3">
    <cfRule type="colorScale" priority="9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28">
    <cfRule type="iconSet" priority="1047">
      <iconSet iconSet="3TrafficLights2">
        <cfvo type="percent" val="0"/>
        <cfvo type="num" val="0"/>
        <cfvo type="num" val="7"/>
      </iconSet>
    </cfRule>
    <cfRule type="iconSet" priority="1048">
      <iconSet>
        <cfvo type="percent" val="0"/>
        <cfvo type="num" val="0"/>
        <cfvo type="num" val="14"/>
      </iconSet>
    </cfRule>
    <cfRule type="iconSet" priority="1049">
      <iconSet iconSet="3TrafficLights2">
        <cfvo type="percent" val="0"/>
        <cfvo type="num" val="0"/>
        <cfvo type="num" val="14"/>
      </iconSet>
    </cfRule>
    <cfRule type="iconSet" priority="1050">
      <iconSet iconSet="3TrafficLights2">
        <cfvo type="percent" val="0"/>
        <cfvo type="num" val="0"/>
        <cfvo type="num" val="8"/>
      </iconSet>
    </cfRule>
  </conditionalFormatting>
  <conditionalFormatting sqref="J2:K22 K23:K25 J23:J28">
    <cfRule type="colorScale" priority="10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K22 K23:K25 J23:J28">
    <cfRule type="colorScale" priority="10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58">
      <colorScale>
        <cfvo type="num" val="0"/>
        <cfvo type="num" val="100"/>
        <color rgb="FF008000"/>
        <color rgb="FFFF0000"/>
      </colorScale>
    </cfRule>
  </conditionalFormatting>
  <conditionalFormatting sqref="D5:D28">
    <cfRule type="containsText" dxfId="41" priority="1061" operator="containsText" text="Very Low">
      <formula>NOT(ISERROR(SEARCH("Very Low",D5)))</formula>
    </cfRule>
    <cfRule type="containsText" dxfId="40" priority="1062" operator="containsText" text="Low">
      <formula>NOT(ISERROR(SEARCH("Low",D5)))</formula>
    </cfRule>
    <cfRule type="containsText" dxfId="39" priority="1063" operator="containsText" text="Medium">
      <formula>NOT(ISERROR(SEARCH("Medium",D5)))</formula>
    </cfRule>
    <cfRule type="containsText" dxfId="38" priority="1064" operator="containsText" text="High">
      <formula>NOT(ISERROR(SEARCH("High",D5)))</formula>
    </cfRule>
    <cfRule type="containsText" dxfId="37" priority="1065" operator="containsText" text="Critical">
      <formula>NOT(ISERROR(SEARCH("Critical",D5)))</formula>
    </cfRule>
    <cfRule type="colorScale" priority="106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29:K34 K26:K28">
    <cfRule type="colorScale" priority="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26:L34">
    <cfRule type="colorScale" priority="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G29:G34">
    <cfRule type="iconSet" priority="4">
      <iconSet iconSet="3TrafficLights2">
        <cfvo type="percent" val="0"/>
        <cfvo type="num" val="0"/>
        <cfvo type="num" val="7"/>
      </iconSet>
    </cfRule>
    <cfRule type="iconSet" priority="5">
      <iconSet>
        <cfvo type="percent" val="0"/>
        <cfvo type="num" val="0"/>
        <cfvo type="num" val="14"/>
      </iconSet>
    </cfRule>
    <cfRule type="iconSet" priority="6">
      <iconSet iconSet="3TrafficLights2">
        <cfvo type="percent" val="0"/>
        <cfvo type="num" val="0"/>
        <cfvo type="num" val="14"/>
      </iconSet>
    </cfRule>
    <cfRule type="iconSet" priority="7">
      <iconSet iconSet="3TrafficLights2">
        <cfvo type="percent" val="0"/>
        <cfvo type="num" val="0"/>
        <cfvo type="num" val="8"/>
      </iconSet>
    </cfRule>
  </conditionalFormatting>
  <conditionalFormatting sqref="J29:K34 K26:K2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9:K34 K26:K2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num" val="0"/>
        <cfvo type="num" val="100"/>
        <color rgb="FF008000"/>
        <color rgb="FFFF0000"/>
      </colorScale>
    </cfRule>
  </conditionalFormatting>
  <conditionalFormatting sqref="D29:D34">
    <cfRule type="containsText" dxfId="36" priority="11" operator="containsText" text="Very Low">
      <formula>NOT(ISERROR(SEARCH("Very Low",D29)))</formula>
    </cfRule>
    <cfRule type="containsText" dxfId="35" priority="12" operator="containsText" text="Low">
      <formula>NOT(ISERROR(SEARCH("Low",D29)))</formula>
    </cfRule>
    <cfRule type="containsText" dxfId="34" priority="13" operator="containsText" text="Medium">
      <formula>NOT(ISERROR(SEARCH("Medium",D29)))</formula>
    </cfRule>
    <cfRule type="containsText" dxfId="33" priority="14" operator="containsText" text="High">
      <formula>NOT(ISERROR(SEARCH("High",D29)))</formula>
    </cfRule>
    <cfRule type="containsText" dxfId="32" priority="15" operator="containsText" text="Critical">
      <formula>NOT(ISERROR(SEARCH("Critical",D29)))</formula>
    </cfRule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8:S251">
    <cfRule type="expression" dxfId="31" priority="1">
      <formula>$J8=100</formula>
    </cfRule>
  </conditionalFormatting>
  <dataValidations count="1">
    <dataValidation type="list" allowBlank="1" showInputMessage="1" showErrorMessage="1" sqref="B2:B28">
      <formula1>$B$35:$B$40</formula1>
    </dataValidation>
  </dataValidation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Legend!$H$3:$H$7</xm:f>
          </x14:formula1>
          <xm:sqref>D5:D28</xm:sqref>
        </x14:dataValidation>
        <x14:dataValidation type="list" allowBlank="1" showInputMessage="1" showErrorMessage="1">
          <x14:formula1>
            <xm:f>Goals!$A$2:$A$17</xm:f>
          </x14:formula1>
          <xm:sqref>C5:C28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35"/>
  <sheetViews>
    <sheetView tabSelected="1" workbookViewId="0">
      <selection activeCell="B2" sqref="B2"/>
    </sheetView>
  </sheetViews>
  <sheetFormatPr defaultRowHeight="15"/>
  <cols>
    <col min="1" max="1" width="39.7109375" style="40" customWidth="1"/>
    <col min="2" max="2" width="27.7109375" style="40" customWidth="1"/>
    <col min="3" max="3" width="27.7109375" style="40" hidden="1" customWidth="1"/>
    <col min="4" max="4" width="27.7109375" style="40" customWidth="1"/>
    <col min="5" max="16384" width="9.140625" style="40"/>
  </cols>
  <sheetData>
    <row r="1" spans="1:2" ht="15.75" thickBot="1">
      <c r="A1" s="84" t="s">
        <v>45</v>
      </c>
      <c r="B1" s="84" t="s">
        <v>0</v>
      </c>
    </row>
    <row r="2" spans="1:2">
      <c r="A2" s="41" t="s">
        <v>52</v>
      </c>
      <c r="B2" s="46" t="s">
        <v>87</v>
      </c>
    </row>
    <row r="3" spans="1:2">
      <c r="A3" s="42" t="s">
        <v>53</v>
      </c>
      <c r="B3" s="47" t="s">
        <v>88</v>
      </c>
    </row>
    <row r="4" spans="1:2">
      <c r="A4" s="42" t="s">
        <v>54</v>
      </c>
      <c r="B4" s="47" t="s">
        <v>64</v>
      </c>
    </row>
    <row r="5" spans="1:2" ht="30">
      <c r="A5" s="42" t="s">
        <v>55</v>
      </c>
      <c r="B5" s="47" t="s">
        <v>64</v>
      </c>
    </row>
    <row r="6" spans="1:2">
      <c r="A6" s="42" t="s">
        <v>56</v>
      </c>
      <c r="B6" s="47" t="s">
        <v>64</v>
      </c>
    </row>
    <row r="7" spans="1:2">
      <c r="A7" s="42" t="s">
        <v>57</v>
      </c>
      <c r="B7" s="47" t="s">
        <v>64</v>
      </c>
    </row>
    <row r="8" spans="1:2">
      <c r="A8" s="42" t="s">
        <v>58</v>
      </c>
      <c r="B8" s="47" t="s">
        <v>63</v>
      </c>
    </row>
    <row r="9" spans="1:2">
      <c r="A9" s="42" t="s">
        <v>59</v>
      </c>
      <c r="B9" s="47" t="s">
        <v>64</v>
      </c>
    </row>
    <row r="10" spans="1:2">
      <c r="A10" s="42" t="s">
        <v>60</v>
      </c>
      <c r="B10" s="47" t="s">
        <v>64</v>
      </c>
    </row>
    <row r="11" spans="1:2">
      <c r="A11" s="42" t="s">
        <v>61</v>
      </c>
      <c r="B11" s="47" t="s">
        <v>64</v>
      </c>
    </row>
    <row r="12" spans="1:2">
      <c r="A12" s="42" t="s">
        <v>62</v>
      </c>
      <c r="B12" s="47" t="s">
        <v>64</v>
      </c>
    </row>
    <row r="13" spans="1:2">
      <c r="A13" s="42" t="s">
        <v>65</v>
      </c>
      <c r="B13" s="47" t="s">
        <v>99</v>
      </c>
    </row>
    <row r="14" spans="1:2">
      <c r="A14" s="42" t="s">
        <v>78</v>
      </c>
      <c r="B14" s="47" t="s">
        <v>100</v>
      </c>
    </row>
    <row r="15" spans="1:2">
      <c r="A15" s="42" t="s">
        <v>80</v>
      </c>
      <c r="B15" s="47" t="s">
        <v>101</v>
      </c>
    </row>
    <row r="16" spans="1:2">
      <c r="A16" s="42"/>
      <c r="B16" s="47"/>
    </row>
    <row r="17" spans="1:2">
      <c r="A17" s="42"/>
      <c r="B17" s="47"/>
    </row>
    <row r="18" spans="1:2">
      <c r="A18" s="42"/>
      <c r="B18" s="47"/>
    </row>
    <row r="19" spans="1:2">
      <c r="A19" s="42"/>
      <c r="B19" s="47"/>
    </row>
    <row r="20" spans="1:2">
      <c r="A20" s="42"/>
      <c r="B20" s="47"/>
    </row>
    <row r="21" spans="1:2">
      <c r="A21" s="42"/>
      <c r="B21" s="47"/>
    </row>
    <row r="22" spans="1:2">
      <c r="A22" s="42"/>
      <c r="B22" s="47"/>
    </row>
    <row r="23" spans="1:2">
      <c r="A23" s="42"/>
      <c r="B23" s="47"/>
    </row>
    <row r="24" spans="1:2">
      <c r="A24" s="42"/>
      <c r="B24" s="47"/>
    </row>
    <row r="25" spans="1:2">
      <c r="A25" s="42"/>
      <c r="B25" s="47"/>
    </row>
    <row r="26" spans="1:2">
      <c r="A26" s="42"/>
      <c r="B26" s="47"/>
    </row>
    <row r="27" spans="1:2">
      <c r="A27" s="42"/>
      <c r="B27" s="47"/>
    </row>
    <row r="28" spans="1:2">
      <c r="A28" s="42"/>
      <c r="B28" s="47"/>
    </row>
    <row r="29" spans="1:2">
      <c r="A29" s="42"/>
      <c r="B29" s="47"/>
    </row>
    <row r="30" spans="1:2">
      <c r="A30" s="42"/>
      <c r="B30" s="47"/>
    </row>
    <row r="31" spans="1:2">
      <c r="A31" s="42"/>
      <c r="B31" s="47"/>
    </row>
    <row r="32" spans="1:2">
      <c r="A32" s="42"/>
      <c r="B32" s="47"/>
    </row>
    <row r="33" spans="1:2">
      <c r="A33" s="42"/>
      <c r="B33" s="47"/>
    </row>
    <row r="34" spans="1:2">
      <c r="A34" s="42"/>
      <c r="B34" s="47"/>
    </row>
    <row r="35" spans="1:2" ht="15.75" thickBot="1">
      <c r="A35" s="44"/>
      <c r="B35" s="48"/>
    </row>
  </sheetData>
  <conditionalFormatting sqref="A2:B59">
    <cfRule type="expression" dxfId="30" priority="1">
      <formula>$C2 = "Complete"</formula>
    </cfRule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3</xdr:col>
                <xdr:colOff>219075</xdr:colOff>
                <xdr:row>3</xdr:row>
                <xdr:rowOff>142875</xdr:rowOff>
              </from>
              <to>
                <xdr:col>4</xdr:col>
                <xdr:colOff>533400</xdr:colOff>
                <xdr:row>5</xdr:row>
                <xdr:rowOff>180975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00"/>
  <sheetViews>
    <sheetView workbookViewId="0">
      <selection activeCell="F11" sqref="F11"/>
    </sheetView>
  </sheetViews>
  <sheetFormatPr defaultRowHeight="15"/>
  <cols>
    <col min="1" max="1" width="27" style="40" customWidth="1"/>
    <col min="2" max="2" width="15.42578125" style="40" customWidth="1"/>
    <col min="3" max="3" width="20.28515625" style="40" customWidth="1"/>
    <col min="4" max="4" width="14.42578125" style="40" customWidth="1"/>
    <col min="5" max="16384" width="9.140625" style="40"/>
  </cols>
  <sheetData>
    <row r="1" spans="1:4" ht="16.5" thickBot="1">
      <c r="A1" s="96" t="s">
        <v>68</v>
      </c>
      <c r="B1" s="97" t="s">
        <v>69</v>
      </c>
      <c r="C1" s="97" t="s">
        <v>67</v>
      </c>
      <c r="D1" s="98" t="s">
        <v>70</v>
      </c>
    </row>
    <row r="2" spans="1:4">
      <c r="A2" s="85"/>
      <c r="B2" s="86"/>
      <c r="C2" s="87" t="str">
        <f ca="1">IF(A2&lt;&gt;"", IF(C2="", NOW(), C2), "")</f>
        <v/>
      </c>
      <c r="D2" s="88"/>
    </row>
    <row r="3" spans="1:4">
      <c r="A3" s="89"/>
      <c r="B3" s="90"/>
      <c r="C3" s="87" t="str">
        <f t="shared" ref="C3:C66" ca="1" si="0">IF(A3&lt;&gt;"", IF(C3="", NOW(), C3), "")</f>
        <v/>
      </c>
      <c r="D3" s="43"/>
    </row>
    <row r="4" spans="1:4">
      <c r="A4" s="89"/>
      <c r="B4" s="90"/>
      <c r="C4" s="87" t="str">
        <f t="shared" ca="1" si="0"/>
        <v/>
      </c>
      <c r="D4" s="43"/>
    </row>
    <row r="5" spans="1:4">
      <c r="A5" s="89"/>
      <c r="B5" s="90"/>
      <c r="C5" s="87" t="str">
        <f t="shared" ca="1" si="0"/>
        <v/>
      </c>
      <c r="D5" s="43"/>
    </row>
    <row r="6" spans="1:4">
      <c r="A6" s="89"/>
      <c r="B6" s="90"/>
      <c r="C6" s="87" t="str">
        <f t="shared" ca="1" si="0"/>
        <v/>
      </c>
      <c r="D6" s="43"/>
    </row>
    <row r="7" spans="1:4">
      <c r="A7" s="89"/>
      <c r="B7" s="90"/>
      <c r="C7" s="87" t="str">
        <f t="shared" ca="1" si="0"/>
        <v/>
      </c>
      <c r="D7" s="43"/>
    </row>
    <row r="8" spans="1:4">
      <c r="A8" s="89"/>
      <c r="B8" s="90"/>
      <c r="C8" s="87" t="str">
        <f t="shared" ca="1" si="0"/>
        <v/>
      </c>
      <c r="D8" s="43"/>
    </row>
    <row r="9" spans="1:4">
      <c r="A9" s="89"/>
      <c r="B9" s="90"/>
      <c r="C9" s="87" t="str">
        <f t="shared" ca="1" si="0"/>
        <v/>
      </c>
      <c r="D9" s="43"/>
    </row>
    <row r="10" spans="1:4">
      <c r="A10" s="89"/>
      <c r="B10" s="90"/>
      <c r="C10" s="87" t="str">
        <f t="shared" ca="1" si="0"/>
        <v/>
      </c>
      <c r="D10" s="43"/>
    </row>
    <row r="11" spans="1:4">
      <c r="A11" s="89"/>
      <c r="B11" s="90"/>
      <c r="C11" s="87" t="str">
        <f t="shared" ca="1" si="0"/>
        <v/>
      </c>
      <c r="D11" s="43"/>
    </row>
    <row r="12" spans="1:4">
      <c r="A12" s="89"/>
      <c r="B12" s="90"/>
      <c r="C12" s="87" t="str">
        <f t="shared" ca="1" si="0"/>
        <v/>
      </c>
      <c r="D12" s="43"/>
    </row>
    <row r="13" spans="1:4">
      <c r="A13" s="89"/>
      <c r="B13" s="90"/>
      <c r="C13" s="87" t="str">
        <f t="shared" ca="1" si="0"/>
        <v/>
      </c>
      <c r="D13" s="43"/>
    </row>
    <row r="14" spans="1:4">
      <c r="A14" s="89"/>
      <c r="B14" s="90"/>
      <c r="C14" s="87" t="str">
        <f t="shared" ca="1" si="0"/>
        <v/>
      </c>
      <c r="D14" s="43"/>
    </row>
    <row r="15" spans="1:4">
      <c r="A15" s="89"/>
      <c r="B15" s="90"/>
      <c r="C15" s="87" t="str">
        <f t="shared" ca="1" si="0"/>
        <v/>
      </c>
      <c r="D15" s="43"/>
    </row>
    <row r="16" spans="1:4">
      <c r="A16" s="89"/>
      <c r="B16" s="90"/>
      <c r="C16" s="87" t="str">
        <f t="shared" ca="1" si="0"/>
        <v/>
      </c>
      <c r="D16" s="43"/>
    </row>
    <row r="17" spans="1:4">
      <c r="A17" s="89"/>
      <c r="B17" s="90"/>
      <c r="C17" s="87" t="str">
        <f t="shared" ca="1" si="0"/>
        <v/>
      </c>
      <c r="D17" s="43"/>
    </row>
    <row r="18" spans="1:4">
      <c r="A18" s="89"/>
      <c r="B18" s="90"/>
      <c r="C18" s="87" t="str">
        <f t="shared" ca="1" si="0"/>
        <v/>
      </c>
      <c r="D18" s="43"/>
    </row>
    <row r="19" spans="1:4">
      <c r="A19" s="89"/>
      <c r="B19" s="90"/>
      <c r="C19" s="87" t="str">
        <f t="shared" ca="1" si="0"/>
        <v/>
      </c>
      <c r="D19" s="43"/>
    </row>
    <row r="20" spans="1:4">
      <c r="A20" s="89"/>
      <c r="B20" s="90"/>
      <c r="C20" s="87" t="str">
        <f t="shared" ca="1" si="0"/>
        <v/>
      </c>
      <c r="D20" s="43"/>
    </row>
    <row r="21" spans="1:4">
      <c r="A21" s="89"/>
      <c r="B21" s="90"/>
      <c r="C21" s="87" t="str">
        <f t="shared" ca="1" si="0"/>
        <v/>
      </c>
      <c r="D21" s="43"/>
    </row>
    <row r="22" spans="1:4">
      <c r="A22" s="89"/>
      <c r="B22" s="90"/>
      <c r="C22" s="87" t="str">
        <f t="shared" ca="1" si="0"/>
        <v/>
      </c>
      <c r="D22" s="43"/>
    </row>
    <row r="23" spans="1:4">
      <c r="A23" s="89"/>
      <c r="B23" s="90"/>
      <c r="C23" s="87" t="str">
        <f t="shared" ca="1" si="0"/>
        <v/>
      </c>
      <c r="D23" s="43"/>
    </row>
    <row r="24" spans="1:4">
      <c r="A24" s="89"/>
      <c r="B24" s="90"/>
      <c r="C24" s="87" t="str">
        <f t="shared" ca="1" si="0"/>
        <v/>
      </c>
      <c r="D24" s="43"/>
    </row>
    <row r="25" spans="1:4">
      <c r="A25" s="89"/>
      <c r="B25" s="90"/>
      <c r="C25" s="87" t="str">
        <f t="shared" ca="1" si="0"/>
        <v/>
      </c>
      <c r="D25" s="43"/>
    </row>
    <row r="26" spans="1:4">
      <c r="A26" s="89"/>
      <c r="B26" s="90"/>
      <c r="C26" s="87" t="str">
        <f t="shared" ca="1" si="0"/>
        <v/>
      </c>
      <c r="D26" s="43"/>
    </row>
    <row r="27" spans="1:4">
      <c r="A27" s="89"/>
      <c r="B27" s="90"/>
      <c r="C27" s="87" t="str">
        <f t="shared" ca="1" si="0"/>
        <v/>
      </c>
      <c r="D27" s="43"/>
    </row>
    <row r="28" spans="1:4">
      <c r="A28" s="89"/>
      <c r="B28" s="90"/>
      <c r="C28" s="87" t="str">
        <f t="shared" ca="1" si="0"/>
        <v/>
      </c>
      <c r="D28" s="43"/>
    </row>
    <row r="29" spans="1:4">
      <c r="A29" s="89"/>
      <c r="B29" s="90"/>
      <c r="C29" s="87" t="str">
        <f t="shared" ca="1" si="0"/>
        <v/>
      </c>
      <c r="D29" s="43"/>
    </row>
    <row r="30" spans="1:4">
      <c r="A30" s="89"/>
      <c r="B30" s="90"/>
      <c r="C30" s="87" t="str">
        <f t="shared" ca="1" si="0"/>
        <v/>
      </c>
      <c r="D30" s="43"/>
    </row>
    <row r="31" spans="1:4">
      <c r="A31" s="89"/>
      <c r="B31" s="90"/>
      <c r="C31" s="87" t="str">
        <f t="shared" ca="1" si="0"/>
        <v/>
      </c>
      <c r="D31" s="43"/>
    </row>
    <row r="32" spans="1:4">
      <c r="A32" s="89"/>
      <c r="B32" s="90"/>
      <c r="C32" s="87" t="str">
        <f t="shared" ca="1" si="0"/>
        <v/>
      </c>
      <c r="D32" s="43"/>
    </row>
    <row r="33" spans="1:4">
      <c r="A33" s="89"/>
      <c r="B33" s="90"/>
      <c r="C33" s="87" t="str">
        <f t="shared" ca="1" si="0"/>
        <v/>
      </c>
      <c r="D33" s="43"/>
    </row>
    <row r="34" spans="1:4">
      <c r="A34" s="89"/>
      <c r="B34" s="90"/>
      <c r="C34" s="87" t="str">
        <f t="shared" ca="1" si="0"/>
        <v/>
      </c>
      <c r="D34" s="43"/>
    </row>
    <row r="35" spans="1:4">
      <c r="A35" s="89"/>
      <c r="B35" s="90"/>
      <c r="C35" s="87" t="str">
        <f t="shared" ca="1" si="0"/>
        <v/>
      </c>
      <c r="D35" s="43"/>
    </row>
    <row r="36" spans="1:4">
      <c r="A36" s="89"/>
      <c r="B36" s="90"/>
      <c r="C36" s="87" t="str">
        <f t="shared" ca="1" si="0"/>
        <v/>
      </c>
      <c r="D36" s="43"/>
    </row>
    <row r="37" spans="1:4">
      <c r="A37" s="89"/>
      <c r="B37" s="90"/>
      <c r="C37" s="87" t="str">
        <f t="shared" ca="1" si="0"/>
        <v/>
      </c>
      <c r="D37" s="43"/>
    </row>
    <row r="38" spans="1:4">
      <c r="A38" s="89"/>
      <c r="B38" s="90"/>
      <c r="C38" s="87" t="str">
        <f t="shared" ca="1" si="0"/>
        <v/>
      </c>
      <c r="D38" s="43"/>
    </row>
    <row r="39" spans="1:4">
      <c r="A39" s="89"/>
      <c r="B39" s="90"/>
      <c r="C39" s="87" t="str">
        <f t="shared" ca="1" si="0"/>
        <v/>
      </c>
      <c r="D39" s="43"/>
    </row>
    <row r="40" spans="1:4">
      <c r="A40" s="89"/>
      <c r="B40" s="90"/>
      <c r="C40" s="87" t="str">
        <f t="shared" ca="1" si="0"/>
        <v/>
      </c>
      <c r="D40" s="43"/>
    </row>
    <row r="41" spans="1:4">
      <c r="A41" s="89"/>
      <c r="B41" s="90"/>
      <c r="C41" s="87" t="str">
        <f t="shared" ca="1" si="0"/>
        <v/>
      </c>
      <c r="D41" s="43"/>
    </row>
    <row r="42" spans="1:4">
      <c r="A42" s="89"/>
      <c r="B42" s="90"/>
      <c r="C42" s="87" t="str">
        <f t="shared" ca="1" si="0"/>
        <v/>
      </c>
      <c r="D42" s="43"/>
    </row>
    <row r="43" spans="1:4">
      <c r="A43" s="89"/>
      <c r="B43" s="90"/>
      <c r="C43" s="87" t="str">
        <f t="shared" ca="1" si="0"/>
        <v/>
      </c>
      <c r="D43" s="43"/>
    </row>
    <row r="44" spans="1:4">
      <c r="A44" s="89"/>
      <c r="B44" s="90"/>
      <c r="C44" s="87" t="str">
        <f t="shared" ca="1" si="0"/>
        <v/>
      </c>
      <c r="D44" s="43"/>
    </row>
    <row r="45" spans="1:4">
      <c r="A45" s="89"/>
      <c r="B45" s="90"/>
      <c r="C45" s="87" t="str">
        <f t="shared" ca="1" si="0"/>
        <v/>
      </c>
      <c r="D45" s="43"/>
    </row>
    <row r="46" spans="1:4">
      <c r="A46" s="89"/>
      <c r="B46" s="90"/>
      <c r="C46" s="87" t="str">
        <f t="shared" ca="1" si="0"/>
        <v/>
      </c>
      <c r="D46" s="43"/>
    </row>
    <row r="47" spans="1:4">
      <c r="A47" s="89"/>
      <c r="B47" s="90"/>
      <c r="C47" s="87" t="str">
        <f t="shared" ca="1" si="0"/>
        <v/>
      </c>
      <c r="D47" s="43"/>
    </row>
    <row r="48" spans="1:4">
      <c r="A48" s="89"/>
      <c r="B48" s="90"/>
      <c r="C48" s="87" t="str">
        <f t="shared" ca="1" si="0"/>
        <v/>
      </c>
      <c r="D48" s="43"/>
    </row>
    <row r="49" spans="1:4">
      <c r="A49" s="89"/>
      <c r="B49" s="90"/>
      <c r="C49" s="87" t="str">
        <f t="shared" ca="1" si="0"/>
        <v/>
      </c>
      <c r="D49" s="43"/>
    </row>
    <row r="50" spans="1:4">
      <c r="A50" s="89"/>
      <c r="B50" s="90"/>
      <c r="C50" s="87" t="str">
        <f t="shared" ca="1" si="0"/>
        <v/>
      </c>
      <c r="D50" s="43"/>
    </row>
    <row r="51" spans="1:4">
      <c r="A51" s="89"/>
      <c r="B51" s="90"/>
      <c r="C51" s="87" t="str">
        <f t="shared" ca="1" si="0"/>
        <v/>
      </c>
      <c r="D51" s="43"/>
    </row>
    <row r="52" spans="1:4">
      <c r="A52" s="89"/>
      <c r="B52" s="90"/>
      <c r="C52" s="87" t="str">
        <f t="shared" ca="1" si="0"/>
        <v/>
      </c>
      <c r="D52" s="43"/>
    </row>
    <row r="53" spans="1:4">
      <c r="A53" s="89"/>
      <c r="B53" s="90"/>
      <c r="C53" s="87" t="str">
        <f t="shared" ca="1" si="0"/>
        <v/>
      </c>
      <c r="D53" s="43"/>
    </row>
    <row r="54" spans="1:4">
      <c r="A54" s="89"/>
      <c r="B54" s="90"/>
      <c r="C54" s="87" t="str">
        <f t="shared" ca="1" si="0"/>
        <v/>
      </c>
      <c r="D54" s="43"/>
    </row>
    <row r="55" spans="1:4">
      <c r="A55" s="89"/>
      <c r="B55" s="90"/>
      <c r="C55" s="87" t="str">
        <f t="shared" ca="1" si="0"/>
        <v/>
      </c>
      <c r="D55" s="43"/>
    </row>
    <row r="56" spans="1:4">
      <c r="A56" s="89"/>
      <c r="B56" s="90"/>
      <c r="C56" s="87" t="str">
        <f t="shared" ca="1" si="0"/>
        <v/>
      </c>
      <c r="D56" s="43"/>
    </row>
    <row r="57" spans="1:4">
      <c r="A57" s="89"/>
      <c r="B57" s="90"/>
      <c r="C57" s="87" t="str">
        <f t="shared" ca="1" si="0"/>
        <v/>
      </c>
      <c r="D57" s="43"/>
    </row>
    <row r="58" spans="1:4">
      <c r="A58" s="89"/>
      <c r="B58" s="90"/>
      <c r="C58" s="87" t="str">
        <f t="shared" ca="1" si="0"/>
        <v/>
      </c>
      <c r="D58" s="43"/>
    </row>
    <row r="59" spans="1:4">
      <c r="A59" s="89"/>
      <c r="B59" s="90"/>
      <c r="C59" s="87" t="str">
        <f t="shared" ca="1" si="0"/>
        <v/>
      </c>
      <c r="D59" s="43"/>
    </row>
    <row r="60" spans="1:4">
      <c r="A60" s="89"/>
      <c r="B60" s="90"/>
      <c r="C60" s="87" t="str">
        <f t="shared" ca="1" si="0"/>
        <v/>
      </c>
      <c r="D60" s="43"/>
    </row>
    <row r="61" spans="1:4">
      <c r="A61" s="89"/>
      <c r="B61" s="90"/>
      <c r="C61" s="87" t="str">
        <f t="shared" ca="1" si="0"/>
        <v/>
      </c>
      <c r="D61" s="43"/>
    </row>
    <row r="62" spans="1:4">
      <c r="A62" s="89"/>
      <c r="B62" s="90"/>
      <c r="C62" s="87" t="str">
        <f t="shared" ca="1" si="0"/>
        <v/>
      </c>
      <c r="D62" s="43"/>
    </row>
    <row r="63" spans="1:4">
      <c r="A63" s="89"/>
      <c r="B63" s="90"/>
      <c r="C63" s="87" t="str">
        <f t="shared" ca="1" si="0"/>
        <v/>
      </c>
      <c r="D63" s="43"/>
    </row>
    <row r="64" spans="1:4">
      <c r="A64" s="89"/>
      <c r="B64" s="90"/>
      <c r="C64" s="87" t="str">
        <f t="shared" ca="1" si="0"/>
        <v/>
      </c>
      <c r="D64" s="43"/>
    </row>
    <row r="65" spans="1:4">
      <c r="A65" s="89"/>
      <c r="B65" s="90"/>
      <c r="C65" s="87" t="str">
        <f t="shared" ca="1" si="0"/>
        <v/>
      </c>
      <c r="D65" s="43"/>
    </row>
    <row r="66" spans="1:4">
      <c r="A66" s="89"/>
      <c r="B66" s="90"/>
      <c r="C66" s="87" t="str">
        <f t="shared" ca="1" si="0"/>
        <v/>
      </c>
      <c r="D66" s="43"/>
    </row>
    <row r="67" spans="1:4">
      <c r="A67" s="89"/>
      <c r="B67" s="90"/>
      <c r="C67" s="87" t="str">
        <f t="shared" ref="C67:C130" ca="1" si="1">IF(A67&lt;&gt;"", IF(C67="", NOW(), C67), "")</f>
        <v/>
      </c>
      <c r="D67" s="43"/>
    </row>
    <row r="68" spans="1:4">
      <c r="A68" s="89"/>
      <c r="B68" s="90"/>
      <c r="C68" s="87" t="str">
        <f t="shared" ca="1" si="1"/>
        <v/>
      </c>
      <c r="D68" s="43"/>
    </row>
    <row r="69" spans="1:4">
      <c r="A69" s="89"/>
      <c r="B69" s="90"/>
      <c r="C69" s="87" t="str">
        <f t="shared" ca="1" si="1"/>
        <v/>
      </c>
      <c r="D69" s="43"/>
    </row>
    <row r="70" spans="1:4">
      <c r="A70" s="89"/>
      <c r="B70" s="90"/>
      <c r="C70" s="87" t="str">
        <f t="shared" ca="1" si="1"/>
        <v/>
      </c>
      <c r="D70" s="43"/>
    </row>
    <row r="71" spans="1:4">
      <c r="A71" s="89"/>
      <c r="B71" s="90"/>
      <c r="C71" s="87" t="str">
        <f t="shared" ca="1" si="1"/>
        <v/>
      </c>
      <c r="D71" s="43"/>
    </row>
    <row r="72" spans="1:4">
      <c r="A72" s="89"/>
      <c r="B72" s="90"/>
      <c r="C72" s="87" t="str">
        <f t="shared" ca="1" si="1"/>
        <v/>
      </c>
      <c r="D72" s="43"/>
    </row>
    <row r="73" spans="1:4">
      <c r="A73" s="89"/>
      <c r="B73" s="90"/>
      <c r="C73" s="87" t="str">
        <f t="shared" ca="1" si="1"/>
        <v/>
      </c>
      <c r="D73" s="43"/>
    </row>
    <row r="74" spans="1:4">
      <c r="A74" s="89"/>
      <c r="B74" s="90"/>
      <c r="C74" s="87" t="str">
        <f t="shared" ca="1" si="1"/>
        <v/>
      </c>
      <c r="D74" s="43"/>
    </row>
    <row r="75" spans="1:4">
      <c r="A75" s="89"/>
      <c r="B75" s="90"/>
      <c r="C75" s="87" t="str">
        <f t="shared" ca="1" si="1"/>
        <v/>
      </c>
      <c r="D75" s="43"/>
    </row>
    <row r="76" spans="1:4">
      <c r="A76" s="89"/>
      <c r="B76" s="90"/>
      <c r="C76" s="87" t="str">
        <f t="shared" ca="1" si="1"/>
        <v/>
      </c>
      <c r="D76" s="43"/>
    </row>
    <row r="77" spans="1:4">
      <c r="A77" s="89"/>
      <c r="B77" s="90"/>
      <c r="C77" s="87" t="str">
        <f t="shared" ca="1" si="1"/>
        <v/>
      </c>
      <c r="D77" s="43"/>
    </row>
    <row r="78" spans="1:4">
      <c r="A78" s="89"/>
      <c r="B78" s="90"/>
      <c r="C78" s="87" t="str">
        <f t="shared" ca="1" si="1"/>
        <v/>
      </c>
      <c r="D78" s="43"/>
    </row>
    <row r="79" spans="1:4">
      <c r="A79" s="89"/>
      <c r="B79" s="90"/>
      <c r="C79" s="87" t="str">
        <f t="shared" ca="1" si="1"/>
        <v/>
      </c>
      <c r="D79" s="43"/>
    </row>
    <row r="80" spans="1:4">
      <c r="A80" s="89"/>
      <c r="B80" s="90"/>
      <c r="C80" s="87" t="str">
        <f t="shared" ca="1" si="1"/>
        <v/>
      </c>
      <c r="D80" s="43"/>
    </row>
    <row r="81" spans="1:4">
      <c r="A81" s="89"/>
      <c r="B81" s="90"/>
      <c r="C81" s="87" t="str">
        <f t="shared" ca="1" si="1"/>
        <v/>
      </c>
      <c r="D81" s="43"/>
    </row>
    <row r="82" spans="1:4">
      <c r="A82" s="89"/>
      <c r="B82" s="90"/>
      <c r="C82" s="87" t="str">
        <f t="shared" ca="1" si="1"/>
        <v/>
      </c>
      <c r="D82" s="43"/>
    </row>
    <row r="83" spans="1:4">
      <c r="A83" s="89"/>
      <c r="B83" s="90"/>
      <c r="C83" s="87" t="str">
        <f t="shared" ca="1" si="1"/>
        <v/>
      </c>
      <c r="D83" s="43"/>
    </row>
    <row r="84" spans="1:4">
      <c r="A84" s="89"/>
      <c r="B84" s="90"/>
      <c r="C84" s="87" t="str">
        <f t="shared" ca="1" si="1"/>
        <v/>
      </c>
      <c r="D84" s="43"/>
    </row>
    <row r="85" spans="1:4">
      <c r="A85" s="89"/>
      <c r="B85" s="90"/>
      <c r="C85" s="87" t="str">
        <f t="shared" ca="1" si="1"/>
        <v/>
      </c>
      <c r="D85" s="43"/>
    </row>
    <row r="86" spans="1:4">
      <c r="A86" s="89"/>
      <c r="B86" s="90"/>
      <c r="C86" s="87" t="str">
        <f t="shared" ca="1" si="1"/>
        <v/>
      </c>
      <c r="D86" s="43"/>
    </row>
    <row r="87" spans="1:4">
      <c r="A87" s="89"/>
      <c r="B87" s="90"/>
      <c r="C87" s="87" t="str">
        <f t="shared" ca="1" si="1"/>
        <v/>
      </c>
      <c r="D87" s="43"/>
    </row>
    <row r="88" spans="1:4">
      <c r="A88" s="89"/>
      <c r="B88" s="90"/>
      <c r="C88" s="87" t="str">
        <f t="shared" ca="1" si="1"/>
        <v/>
      </c>
      <c r="D88" s="43"/>
    </row>
    <row r="89" spans="1:4">
      <c r="A89" s="89"/>
      <c r="B89" s="90"/>
      <c r="C89" s="87" t="str">
        <f t="shared" ca="1" si="1"/>
        <v/>
      </c>
      <c r="D89" s="43"/>
    </row>
    <row r="90" spans="1:4">
      <c r="A90" s="89"/>
      <c r="B90" s="90"/>
      <c r="C90" s="87" t="str">
        <f t="shared" ca="1" si="1"/>
        <v/>
      </c>
      <c r="D90" s="43"/>
    </row>
    <row r="91" spans="1:4">
      <c r="A91" s="89"/>
      <c r="B91" s="90"/>
      <c r="C91" s="87" t="str">
        <f t="shared" ca="1" si="1"/>
        <v/>
      </c>
      <c r="D91" s="43"/>
    </row>
    <row r="92" spans="1:4">
      <c r="A92" s="89"/>
      <c r="B92" s="90"/>
      <c r="C92" s="87" t="str">
        <f t="shared" ca="1" si="1"/>
        <v/>
      </c>
      <c r="D92" s="43"/>
    </row>
    <row r="93" spans="1:4">
      <c r="A93" s="89"/>
      <c r="B93" s="90"/>
      <c r="C93" s="87" t="str">
        <f t="shared" ca="1" si="1"/>
        <v/>
      </c>
      <c r="D93" s="43"/>
    </row>
    <row r="94" spans="1:4">
      <c r="A94" s="89"/>
      <c r="B94" s="90"/>
      <c r="C94" s="87" t="str">
        <f t="shared" ca="1" si="1"/>
        <v/>
      </c>
      <c r="D94" s="43"/>
    </row>
    <row r="95" spans="1:4">
      <c r="A95" s="89"/>
      <c r="B95" s="90"/>
      <c r="C95" s="87" t="str">
        <f t="shared" ca="1" si="1"/>
        <v/>
      </c>
      <c r="D95" s="43"/>
    </row>
    <row r="96" spans="1:4">
      <c r="A96" s="89"/>
      <c r="B96" s="90"/>
      <c r="C96" s="87" t="str">
        <f t="shared" ca="1" si="1"/>
        <v/>
      </c>
      <c r="D96" s="43"/>
    </row>
    <row r="97" spans="1:4">
      <c r="A97" s="89"/>
      <c r="B97" s="90"/>
      <c r="C97" s="87" t="str">
        <f t="shared" ca="1" si="1"/>
        <v/>
      </c>
      <c r="D97" s="43"/>
    </row>
    <row r="98" spans="1:4">
      <c r="A98" s="89"/>
      <c r="B98" s="90"/>
      <c r="C98" s="87" t="str">
        <f t="shared" ca="1" si="1"/>
        <v/>
      </c>
      <c r="D98" s="43"/>
    </row>
    <row r="99" spans="1:4">
      <c r="A99" s="89"/>
      <c r="B99" s="90"/>
      <c r="C99" s="87" t="str">
        <f t="shared" ca="1" si="1"/>
        <v/>
      </c>
      <c r="D99" s="43"/>
    </row>
    <row r="100" spans="1:4">
      <c r="A100" s="89"/>
      <c r="B100" s="90"/>
      <c r="C100" s="87" t="str">
        <f t="shared" ca="1" si="1"/>
        <v/>
      </c>
      <c r="D100" s="43"/>
    </row>
    <row r="101" spans="1:4">
      <c r="A101" s="89"/>
      <c r="B101" s="90"/>
      <c r="C101" s="87" t="str">
        <f t="shared" ca="1" si="1"/>
        <v/>
      </c>
      <c r="D101" s="43"/>
    </row>
    <row r="102" spans="1:4">
      <c r="A102" s="89"/>
      <c r="B102" s="90"/>
      <c r="C102" s="87" t="str">
        <f t="shared" ca="1" si="1"/>
        <v/>
      </c>
      <c r="D102" s="43"/>
    </row>
    <row r="103" spans="1:4">
      <c r="A103" s="89"/>
      <c r="B103" s="90"/>
      <c r="C103" s="87" t="str">
        <f t="shared" ca="1" si="1"/>
        <v/>
      </c>
      <c r="D103" s="43"/>
    </row>
    <row r="104" spans="1:4">
      <c r="A104" s="89"/>
      <c r="B104" s="90"/>
      <c r="C104" s="87" t="str">
        <f t="shared" ca="1" si="1"/>
        <v/>
      </c>
      <c r="D104" s="43"/>
    </row>
    <row r="105" spans="1:4">
      <c r="A105" s="89"/>
      <c r="B105" s="90"/>
      <c r="C105" s="87" t="str">
        <f t="shared" ca="1" si="1"/>
        <v/>
      </c>
      <c r="D105" s="43"/>
    </row>
    <row r="106" spans="1:4">
      <c r="A106" s="89"/>
      <c r="B106" s="90"/>
      <c r="C106" s="87" t="str">
        <f t="shared" ca="1" si="1"/>
        <v/>
      </c>
      <c r="D106" s="43"/>
    </row>
    <row r="107" spans="1:4">
      <c r="A107" s="89"/>
      <c r="B107" s="90"/>
      <c r="C107" s="87" t="str">
        <f t="shared" ca="1" si="1"/>
        <v/>
      </c>
      <c r="D107" s="43"/>
    </row>
    <row r="108" spans="1:4">
      <c r="A108" s="89"/>
      <c r="B108" s="90"/>
      <c r="C108" s="87" t="str">
        <f t="shared" ca="1" si="1"/>
        <v/>
      </c>
      <c r="D108" s="43"/>
    </row>
    <row r="109" spans="1:4">
      <c r="A109" s="89"/>
      <c r="B109" s="90"/>
      <c r="C109" s="87" t="str">
        <f t="shared" ca="1" si="1"/>
        <v/>
      </c>
      <c r="D109" s="43"/>
    </row>
    <row r="110" spans="1:4">
      <c r="A110" s="89"/>
      <c r="B110" s="90"/>
      <c r="C110" s="87" t="str">
        <f t="shared" ca="1" si="1"/>
        <v/>
      </c>
      <c r="D110" s="43"/>
    </row>
    <row r="111" spans="1:4">
      <c r="A111" s="89"/>
      <c r="B111" s="90"/>
      <c r="C111" s="87" t="str">
        <f t="shared" ca="1" si="1"/>
        <v/>
      </c>
      <c r="D111" s="43"/>
    </row>
    <row r="112" spans="1:4">
      <c r="A112" s="89"/>
      <c r="B112" s="90"/>
      <c r="C112" s="87" t="str">
        <f t="shared" ca="1" si="1"/>
        <v/>
      </c>
      <c r="D112" s="43"/>
    </row>
    <row r="113" spans="1:4">
      <c r="A113" s="89"/>
      <c r="B113" s="90"/>
      <c r="C113" s="87" t="str">
        <f t="shared" ca="1" si="1"/>
        <v/>
      </c>
      <c r="D113" s="43"/>
    </row>
    <row r="114" spans="1:4">
      <c r="A114" s="89"/>
      <c r="B114" s="90"/>
      <c r="C114" s="87" t="str">
        <f t="shared" ca="1" si="1"/>
        <v/>
      </c>
      <c r="D114" s="43"/>
    </row>
    <row r="115" spans="1:4">
      <c r="A115" s="89"/>
      <c r="B115" s="90"/>
      <c r="C115" s="87" t="str">
        <f t="shared" ca="1" si="1"/>
        <v/>
      </c>
      <c r="D115" s="43"/>
    </row>
    <row r="116" spans="1:4">
      <c r="A116" s="89"/>
      <c r="B116" s="90"/>
      <c r="C116" s="87" t="str">
        <f t="shared" ca="1" si="1"/>
        <v/>
      </c>
      <c r="D116" s="43"/>
    </row>
    <row r="117" spans="1:4">
      <c r="A117" s="89"/>
      <c r="B117" s="90"/>
      <c r="C117" s="87" t="str">
        <f t="shared" ca="1" si="1"/>
        <v/>
      </c>
      <c r="D117" s="43"/>
    </row>
    <row r="118" spans="1:4">
      <c r="A118" s="89"/>
      <c r="B118" s="90"/>
      <c r="C118" s="87" t="str">
        <f t="shared" ca="1" si="1"/>
        <v/>
      </c>
      <c r="D118" s="43"/>
    </row>
    <row r="119" spans="1:4">
      <c r="A119" s="89"/>
      <c r="B119" s="90"/>
      <c r="C119" s="87" t="str">
        <f t="shared" ca="1" si="1"/>
        <v/>
      </c>
      <c r="D119" s="43"/>
    </row>
    <row r="120" spans="1:4">
      <c r="A120" s="89"/>
      <c r="B120" s="90"/>
      <c r="C120" s="87" t="str">
        <f t="shared" ca="1" si="1"/>
        <v/>
      </c>
      <c r="D120" s="43"/>
    </row>
    <row r="121" spans="1:4">
      <c r="A121" s="89"/>
      <c r="B121" s="90"/>
      <c r="C121" s="87" t="str">
        <f t="shared" ca="1" si="1"/>
        <v/>
      </c>
      <c r="D121" s="43"/>
    </row>
    <row r="122" spans="1:4">
      <c r="A122" s="89"/>
      <c r="B122" s="90"/>
      <c r="C122" s="87" t="str">
        <f t="shared" ca="1" si="1"/>
        <v/>
      </c>
      <c r="D122" s="43"/>
    </row>
    <row r="123" spans="1:4">
      <c r="A123" s="89"/>
      <c r="B123" s="90"/>
      <c r="C123" s="87" t="str">
        <f t="shared" ca="1" si="1"/>
        <v/>
      </c>
      <c r="D123" s="43"/>
    </row>
    <row r="124" spans="1:4">
      <c r="A124" s="89"/>
      <c r="B124" s="90"/>
      <c r="C124" s="87" t="str">
        <f t="shared" ca="1" si="1"/>
        <v/>
      </c>
      <c r="D124" s="43"/>
    </row>
    <row r="125" spans="1:4">
      <c r="A125" s="89"/>
      <c r="B125" s="90"/>
      <c r="C125" s="87" t="str">
        <f t="shared" ca="1" si="1"/>
        <v/>
      </c>
      <c r="D125" s="43"/>
    </row>
    <row r="126" spans="1:4">
      <c r="A126" s="89"/>
      <c r="B126" s="90"/>
      <c r="C126" s="87" t="str">
        <f t="shared" ca="1" si="1"/>
        <v/>
      </c>
      <c r="D126" s="43"/>
    </row>
    <row r="127" spans="1:4">
      <c r="A127" s="89"/>
      <c r="B127" s="90"/>
      <c r="C127" s="87" t="str">
        <f t="shared" ca="1" si="1"/>
        <v/>
      </c>
      <c r="D127" s="43"/>
    </row>
    <row r="128" spans="1:4">
      <c r="A128" s="89"/>
      <c r="B128" s="90"/>
      <c r="C128" s="87" t="str">
        <f t="shared" ca="1" si="1"/>
        <v/>
      </c>
      <c r="D128" s="43"/>
    </row>
    <row r="129" spans="1:4">
      <c r="A129" s="89"/>
      <c r="B129" s="90"/>
      <c r="C129" s="87" t="str">
        <f t="shared" ca="1" si="1"/>
        <v/>
      </c>
      <c r="D129" s="43"/>
    </row>
    <row r="130" spans="1:4">
      <c r="A130" s="89"/>
      <c r="B130" s="90"/>
      <c r="C130" s="87" t="str">
        <f t="shared" ca="1" si="1"/>
        <v/>
      </c>
      <c r="D130" s="43"/>
    </row>
    <row r="131" spans="1:4">
      <c r="A131" s="89"/>
      <c r="B131" s="90"/>
      <c r="C131" s="87" t="str">
        <f t="shared" ref="C131:C194" ca="1" si="2">IF(A131&lt;&gt;"", IF(C131="", NOW(), C131), "")</f>
        <v/>
      </c>
      <c r="D131" s="43"/>
    </row>
    <row r="132" spans="1:4">
      <c r="A132" s="89"/>
      <c r="B132" s="90"/>
      <c r="C132" s="87" t="str">
        <f t="shared" ca="1" si="2"/>
        <v/>
      </c>
      <c r="D132" s="43"/>
    </row>
    <row r="133" spans="1:4">
      <c r="A133" s="89"/>
      <c r="B133" s="90"/>
      <c r="C133" s="87" t="str">
        <f t="shared" ca="1" si="2"/>
        <v/>
      </c>
      <c r="D133" s="43"/>
    </row>
    <row r="134" spans="1:4">
      <c r="A134" s="89"/>
      <c r="B134" s="90"/>
      <c r="C134" s="87" t="str">
        <f t="shared" ca="1" si="2"/>
        <v/>
      </c>
      <c r="D134" s="43"/>
    </row>
    <row r="135" spans="1:4">
      <c r="A135" s="89"/>
      <c r="B135" s="90"/>
      <c r="C135" s="87" t="str">
        <f t="shared" ca="1" si="2"/>
        <v/>
      </c>
      <c r="D135" s="43"/>
    </row>
    <row r="136" spans="1:4">
      <c r="A136" s="89"/>
      <c r="B136" s="90"/>
      <c r="C136" s="87" t="str">
        <f t="shared" ca="1" si="2"/>
        <v/>
      </c>
      <c r="D136" s="43"/>
    </row>
    <row r="137" spans="1:4">
      <c r="A137" s="89"/>
      <c r="B137" s="90"/>
      <c r="C137" s="87" t="str">
        <f t="shared" ca="1" si="2"/>
        <v/>
      </c>
      <c r="D137" s="43"/>
    </row>
    <row r="138" spans="1:4">
      <c r="A138" s="89"/>
      <c r="B138" s="90"/>
      <c r="C138" s="87" t="str">
        <f t="shared" ca="1" si="2"/>
        <v/>
      </c>
      <c r="D138" s="43"/>
    </row>
    <row r="139" spans="1:4">
      <c r="A139" s="89"/>
      <c r="B139" s="90"/>
      <c r="C139" s="87" t="str">
        <f t="shared" ca="1" si="2"/>
        <v/>
      </c>
      <c r="D139" s="43"/>
    </row>
    <row r="140" spans="1:4">
      <c r="A140" s="89"/>
      <c r="B140" s="90"/>
      <c r="C140" s="87" t="str">
        <f t="shared" ca="1" si="2"/>
        <v/>
      </c>
      <c r="D140" s="43"/>
    </row>
    <row r="141" spans="1:4">
      <c r="A141" s="89"/>
      <c r="B141" s="90"/>
      <c r="C141" s="87" t="str">
        <f t="shared" ca="1" si="2"/>
        <v/>
      </c>
      <c r="D141" s="43"/>
    </row>
    <row r="142" spans="1:4">
      <c r="A142" s="89"/>
      <c r="B142" s="90"/>
      <c r="C142" s="87" t="str">
        <f t="shared" ca="1" si="2"/>
        <v/>
      </c>
      <c r="D142" s="43"/>
    </row>
    <row r="143" spans="1:4">
      <c r="A143" s="89"/>
      <c r="B143" s="90"/>
      <c r="C143" s="87" t="str">
        <f t="shared" ca="1" si="2"/>
        <v/>
      </c>
      <c r="D143" s="43"/>
    </row>
    <row r="144" spans="1:4">
      <c r="A144" s="89"/>
      <c r="B144" s="90"/>
      <c r="C144" s="87" t="str">
        <f t="shared" ca="1" si="2"/>
        <v/>
      </c>
      <c r="D144" s="43"/>
    </row>
    <row r="145" spans="1:4">
      <c r="A145" s="89"/>
      <c r="B145" s="90"/>
      <c r="C145" s="87" t="str">
        <f t="shared" ca="1" si="2"/>
        <v/>
      </c>
      <c r="D145" s="43"/>
    </row>
    <row r="146" spans="1:4">
      <c r="A146" s="89"/>
      <c r="B146" s="90"/>
      <c r="C146" s="87" t="str">
        <f t="shared" ca="1" si="2"/>
        <v/>
      </c>
      <c r="D146" s="43"/>
    </row>
    <row r="147" spans="1:4">
      <c r="A147" s="89"/>
      <c r="B147" s="90"/>
      <c r="C147" s="87" t="str">
        <f t="shared" ca="1" si="2"/>
        <v/>
      </c>
      <c r="D147" s="43"/>
    </row>
    <row r="148" spans="1:4">
      <c r="A148" s="89"/>
      <c r="B148" s="90"/>
      <c r="C148" s="87" t="str">
        <f t="shared" ca="1" si="2"/>
        <v/>
      </c>
      <c r="D148" s="43"/>
    </row>
    <row r="149" spans="1:4">
      <c r="A149" s="89"/>
      <c r="B149" s="90"/>
      <c r="C149" s="87" t="str">
        <f t="shared" ca="1" si="2"/>
        <v/>
      </c>
      <c r="D149" s="43"/>
    </row>
    <row r="150" spans="1:4">
      <c r="A150" s="89"/>
      <c r="B150" s="90"/>
      <c r="C150" s="87" t="str">
        <f t="shared" ca="1" si="2"/>
        <v/>
      </c>
      <c r="D150" s="43"/>
    </row>
    <row r="151" spans="1:4">
      <c r="A151" s="89"/>
      <c r="B151" s="90"/>
      <c r="C151" s="87" t="str">
        <f t="shared" ca="1" si="2"/>
        <v/>
      </c>
      <c r="D151" s="43"/>
    </row>
    <row r="152" spans="1:4">
      <c r="A152" s="89"/>
      <c r="B152" s="90"/>
      <c r="C152" s="87" t="str">
        <f t="shared" ca="1" si="2"/>
        <v/>
      </c>
      <c r="D152" s="43"/>
    </row>
    <row r="153" spans="1:4">
      <c r="A153" s="89"/>
      <c r="B153" s="90"/>
      <c r="C153" s="87" t="str">
        <f t="shared" ca="1" si="2"/>
        <v/>
      </c>
      <c r="D153" s="43"/>
    </row>
    <row r="154" spans="1:4">
      <c r="A154" s="89"/>
      <c r="B154" s="90"/>
      <c r="C154" s="87" t="str">
        <f t="shared" ca="1" si="2"/>
        <v/>
      </c>
      <c r="D154" s="43"/>
    </row>
    <row r="155" spans="1:4">
      <c r="A155" s="89"/>
      <c r="B155" s="90"/>
      <c r="C155" s="87" t="str">
        <f t="shared" ca="1" si="2"/>
        <v/>
      </c>
      <c r="D155" s="43"/>
    </row>
    <row r="156" spans="1:4">
      <c r="A156" s="89"/>
      <c r="B156" s="90"/>
      <c r="C156" s="87" t="str">
        <f t="shared" ca="1" si="2"/>
        <v/>
      </c>
      <c r="D156" s="43"/>
    </row>
    <row r="157" spans="1:4">
      <c r="A157" s="89"/>
      <c r="B157" s="90"/>
      <c r="C157" s="87" t="str">
        <f t="shared" ca="1" si="2"/>
        <v/>
      </c>
      <c r="D157" s="43"/>
    </row>
    <row r="158" spans="1:4">
      <c r="A158" s="89"/>
      <c r="B158" s="90"/>
      <c r="C158" s="87" t="str">
        <f t="shared" ca="1" si="2"/>
        <v/>
      </c>
      <c r="D158" s="43"/>
    </row>
    <row r="159" spans="1:4">
      <c r="A159" s="89"/>
      <c r="B159" s="90"/>
      <c r="C159" s="87" t="str">
        <f t="shared" ca="1" si="2"/>
        <v/>
      </c>
      <c r="D159" s="43"/>
    </row>
    <row r="160" spans="1:4">
      <c r="A160" s="89"/>
      <c r="B160" s="90"/>
      <c r="C160" s="87" t="str">
        <f t="shared" ca="1" si="2"/>
        <v/>
      </c>
      <c r="D160" s="43"/>
    </row>
    <row r="161" spans="1:4">
      <c r="A161" s="89"/>
      <c r="B161" s="90"/>
      <c r="C161" s="87" t="str">
        <f t="shared" ca="1" si="2"/>
        <v/>
      </c>
      <c r="D161" s="43"/>
    </row>
    <row r="162" spans="1:4">
      <c r="A162" s="89"/>
      <c r="B162" s="90"/>
      <c r="C162" s="87" t="str">
        <f t="shared" ca="1" si="2"/>
        <v/>
      </c>
      <c r="D162" s="43"/>
    </row>
    <row r="163" spans="1:4">
      <c r="A163" s="89"/>
      <c r="B163" s="90"/>
      <c r="C163" s="87" t="str">
        <f t="shared" ca="1" si="2"/>
        <v/>
      </c>
      <c r="D163" s="43"/>
    </row>
    <row r="164" spans="1:4">
      <c r="A164" s="89"/>
      <c r="B164" s="90"/>
      <c r="C164" s="87" t="str">
        <f t="shared" ca="1" si="2"/>
        <v/>
      </c>
      <c r="D164" s="43"/>
    </row>
    <row r="165" spans="1:4">
      <c r="A165" s="89"/>
      <c r="B165" s="90"/>
      <c r="C165" s="87" t="str">
        <f t="shared" ca="1" si="2"/>
        <v/>
      </c>
      <c r="D165" s="43"/>
    </row>
    <row r="166" spans="1:4">
      <c r="A166" s="89"/>
      <c r="B166" s="90"/>
      <c r="C166" s="87" t="str">
        <f t="shared" ca="1" si="2"/>
        <v/>
      </c>
      <c r="D166" s="43"/>
    </row>
    <row r="167" spans="1:4">
      <c r="A167" s="89"/>
      <c r="B167" s="90"/>
      <c r="C167" s="87" t="str">
        <f t="shared" ca="1" si="2"/>
        <v/>
      </c>
      <c r="D167" s="43"/>
    </row>
    <row r="168" spans="1:4">
      <c r="A168" s="89"/>
      <c r="B168" s="90"/>
      <c r="C168" s="87" t="str">
        <f t="shared" ca="1" si="2"/>
        <v/>
      </c>
      <c r="D168" s="43"/>
    </row>
    <row r="169" spans="1:4">
      <c r="A169" s="89"/>
      <c r="B169" s="90"/>
      <c r="C169" s="87" t="str">
        <f t="shared" ca="1" si="2"/>
        <v/>
      </c>
      <c r="D169" s="43"/>
    </row>
    <row r="170" spans="1:4">
      <c r="A170" s="89"/>
      <c r="B170" s="90"/>
      <c r="C170" s="87" t="str">
        <f t="shared" ca="1" si="2"/>
        <v/>
      </c>
      <c r="D170" s="43"/>
    </row>
    <row r="171" spans="1:4">
      <c r="A171" s="89"/>
      <c r="B171" s="90"/>
      <c r="C171" s="87" t="str">
        <f t="shared" ca="1" si="2"/>
        <v/>
      </c>
      <c r="D171" s="43"/>
    </row>
    <row r="172" spans="1:4">
      <c r="A172" s="89"/>
      <c r="B172" s="90"/>
      <c r="C172" s="87" t="str">
        <f t="shared" ca="1" si="2"/>
        <v/>
      </c>
      <c r="D172" s="43"/>
    </row>
    <row r="173" spans="1:4">
      <c r="A173" s="89"/>
      <c r="B173" s="90"/>
      <c r="C173" s="87" t="str">
        <f t="shared" ca="1" si="2"/>
        <v/>
      </c>
      <c r="D173" s="43"/>
    </row>
    <row r="174" spans="1:4">
      <c r="A174" s="89"/>
      <c r="B174" s="90"/>
      <c r="C174" s="87" t="str">
        <f t="shared" ca="1" si="2"/>
        <v/>
      </c>
      <c r="D174" s="43"/>
    </row>
    <row r="175" spans="1:4">
      <c r="A175" s="89"/>
      <c r="B175" s="90"/>
      <c r="C175" s="87" t="str">
        <f t="shared" ca="1" si="2"/>
        <v/>
      </c>
      <c r="D175" s="43"/>
    </row>
    <row r="176" spans="1:4">
      <c r="A176" s="89"/>
      <c r="B176" s="90"/>
      <c r="C176" s="87" t="str">
        <f t="shared" ca="1" si="2"/>
        <v/>
      </c>
      <c r="D176" s="43"/>
    </row>
    <row r="177" spans="1:4">
      <c r="A177" s="89"/>
      <c r="B177" s="90"/>
      <c r="C177" s="87" t="str">
        <f t="shared" ca="1" si="2"/>
        <v/>
      </c>
      <c r="D177" s="43"/>
    </row>
    <row r="178" spans="1:4">
      <c r="A178" s="89"/>
      <c r="B178" s="90"/>
      <c r="C178" s="87" t="str">
        <f t="shared" ca="1" si="2"/>
        <v/>
      </c>
      <c r="D178" s="43"/>
    </row>
    <row r="179" spans="1:4">
      <c r="A179" s="89"/>
      <c r="B179" s="90"/>
      <c r="C179" s="87" t="str">
        <f t="shared" ca="1" si="2"/>
        <v/>
      </c>
      <c r="D179" s="43"/>
    </row>
    <row r="180" spans="1:4">
      <c r="A180" s="89"/>
      <c r="B180" s="90"/>
      <c r="C180" s="87" t="str">
        <f t="shared" ca="1" si="2"/>
        <v/>
      </c>
      <c r="D180" s="43"/>
    </row>
    <row r="181" spans="1:4">
      <c r="A181" s="89"/>
      <c r="B181" s="90"/>
      <c r="C181" s="87" t="str">
        <f t="shared" ca="1" si="2"/>
        <v/>
      </c>
      <c r="D181" s="43"/>
    </row>
    <row r="182" spans="1:4">
      <c r="A182" s="89"/>
      <c r="B182" s="90"/>
      <c r="C182" s="87" t="str">
        <f t="shared" ca="1" si="2"/>
        <v/>
      </c>
      <c r="D182" s="43"/>
    </row>
    <row r="183" spans="1:4">
      <c r="A183" s="89"/>
      <c r="B183" s="90"/>
      <c r="C183" s="87" t="str">
        <f t="shared" ca="1" si="2"/>
        <v/>
      </c>
      <c r="D183" s="43"/>
    </row>
    <row r="184" spans="1:4">
      <c r="A184" s="89"/>
      <c r="B184" s="90"/>
      <c r="C184" s="87" t="str">
        <f t="shared" ca="1" si="2"/>
        <v/>
      </c>
      <c r="D184" s="43"/>
    </row>
    <row r="185" spans="1:4">
      <c r="A185" s="89"/>
      <c r="B185" s="90"/>
      <c r="C185" s="87" t="str">
        <f t="shared" ca="1" si="2"/>
        <v/>
      </c>
      <c r="D185" s="43"/>
    </row>
    <row r="186" spans="1:4">
      <c r="A186" s="89"/>
      <c r="B186" s="90"/>
      <c r="C186" s="87" t="str">
        <f t="shared" ca="1" si="2"/>
        <v/>
      </c>
      <c r="D186" s="43"/>
    </row>
    <row r="187" spans="1:4">
      <c r="A187" s="89"/>
      <c r="B187" s="90"/>
      <c r="C187" s="87" t="str">
        <f t="shared" ca="1" si="2"/>
        <v/>
      </c>
      <c r="D187" s="43"/>
    </row>
    <row r="188" spans="1:4">
      <c r="A188" s="89"/>
      <c r="B188" s="90"/>
      <c r="C188" s="87" t="str">
        <f t="shared" ca="1" si="2"/>
        <v/>
      </c>
      <c r="D188" s="43"/>
    </row>
    <row r="189" spans="1:4">
      <c r="A189" s="89"/>
      <c r="B189" s="90"/>
      <c r="C189" s="87" t="str">
        <f t="shared" ca="1" si="2"/>
        <v/>
      </c>
      <c r="D189" s="43"/>
    </row>
    <row r="190" spans="1:4">
      <c r="A190" s="89"/>
      <c r="B190" s="90"/>
      <c r="C190" s="87" t="str">
        <f t="shared" ca="1" si="2"/>
        <v/>
      </c>
      <c r="D190" s="43"/>
    </row>
    <row r="191" spans="1:4">
      <c r="A191" s="89"/>
      <c r="B191" s="90"/>
      <c r="C191" s="87" t="str">
        <f t="shared" ca="1" si="2"/>
        <v/>
      </c>
      <c r="D191" s="43"/>
    </row>
    <row r="192" spans="1:4">
      <c r="A192" s="89"/>
      <c r="B192" s="90"/>
      <c r="C192" s="87" t="str">
        <f t="shared" ca="1" si="2"/>
        <v/>
      </c>
      <c r="D192" s="43"/>
    </row>
    <row r="193" spans="1:4">
      <c r="A193" s="89"/>
      <c r="B193" s="90"/>
      <c r="C193" s="87" t="str">
        <f t="shared" ca="1" si="2"/>
        <v/>
      </c>
      <c r="D193" s="43"/>
    </row>
    <row r="194" spans="1:4">
      <c r="A194" s="89"/>
      <c r="B194" s="90"/>
      <c r="C194" s="87" t="str">
        <f t="shared" ca="1" si="2"/>
        <v/>
      </c>
      <c r="D194" s="43"/>
    </row>
    <row r="195" spans="1:4">
      <c r="A195" s="89"/>
      <c r="B195" s="90"/>
      <c r="C195" s="87" t="str">
        <f t="shared" ref="C195:C258" ca="1" si="3">IF(A195&lt;&gt;"", IF(C195="", NOW(), C195), "")</f>
        <v/>
      </c>
      <c r="D195" s="43"/>
    </row>
    <row r="196" spans="1:4">
      <c r="A196" s="89"/>
      <c r="B196" s="90"/>
      <c r="C196" s="87" t="str">
        <f t="shared" ca="1" si="3"/>
        <v/>
      </c>
      <c r="D196" s="43"/>
    </row>
    <row r="197" spans="1:4">
      <c r="A197" s="89"/>
      <c r="B197" s="90"/>
      <c r="C197" s="87" t="str">
        <f t="shared" ca="1" si="3"/>
        <v/>
      </c>
      <c r="D197" s="43"/>
    </row>
    <row r="198" spans="1:4">
      <c r="A198" s="89"/>
      <c r="B198" s="90"/>
      <c r="C198" s="87" t="str">
        <f t="shared" ca="1" si="3"/>
        <v/>
      </c>
      <c r="D198" s="43"/>
    </row>
    <row r="199" spans="1:4">
      <c r="A199" s="89"/>
      <c r="B199" s="90"/>
      <c r="C199" s="87" t="str">
        <f t="shared" ca="1" si="3"/>
        <v/>
      </c>
      <c r="D199" s="43"/>
    </row>
    <row r="200" spans="1:4">
      <c r="A200" s="89"/>
      <c r="B200" s="90"/>
      <c r="C200" s="87" t="str">
        <f t="shared" ca="1" si="3"/>
        <v/>
      </c>
      <c r="D200" s="43"/>
    </row>
    <row r="201" spans="1:4">
      <c r="A201" s="89"/>
      <c r="B201" s="90"/>
      <c r="C201" s="87" t="str">
        <f t="shared" ca="1" si="3"/>
        <v/>
      </c>
      <c r="D201" s="43"/>
    </row>
    <row r="202" spans="1:4">
      <c r="A202" s="89"/>
      <c r="B202" s="90"/>
      <c r="C202" s="87" t="str">
        <f t="shared" ca="1" si="3"/>
        <v/>
      </c>
      <c r="D202" s="43"/>
    </row>
    <row r="203" spans="1:4">
      <c r="A203" s="89"/>
      <c r="B203" s="90"/>
      <c r="C203" s="87" t="str">
        <f t="shared" ca="1" si="3"/>
        <v/>
      </c>
      <c r="D203" s="43"/>
    </row>
    <row r="204" spans="1:4">
      <c r="A204" s="89"/>
      <c r="B204" s="90"/>
      <c r="C204" s="87" t="str">
        <f t="shared" ca="1" si="3"/>
        <v/>
      </c>
      <c r="D204" s="43"/>
    </row>
    <row r="205" spans="1:4">
      <c r="A205" s="89"/>
      <c r="B205" s="90"/>
      <c r="C205" s="87" t="str">
        <f t="shared" ca="1" si="3"/>
        <v/>
      </c>
      <c r="D205" s="43"/>
    </row>
    <row r="206" spans="1:4">
      <c r="A206" s="89"/>
      <c r="B206" s="90"/>
      <c r="C206" s="87" t="str">
        <f t="shared" ca="1" si="3"/>
        <v/>
      </c>
      <c r="D206" s="43"/>
    </row>
    <row r="207" spans="1:4">
      <c r="A207" s="89"/>
      <c r="B207" s="90"/>
      <c r="C207" s="87" t="str">
        <f t="shared" ca="1" si="3"/>
        <v/>
      </c>
      <c r="D207" s="43"/>
    </row>
    <row r="208" spans="1:4">
      <c r="A208" s="89"/>
      <c r="B208" s="90"/>
      <c r="C208" s="87" t="str">
        <f t="shared" ca="1" si="3"/>
        <v/>
      </c>
      <c r="D208" s="43"/>
    </row>
    <row r="209" spans="1:4">
      <c r="A209" s="89"/>
      <c r="B209" s="90"/>
      <c r="C209" s="87" t="str">
        <f t="shared" ca="1" si="3"/>
        <v/>
      </c>
      <c r="D209" s="43"/>
    </row>
    <row r="210" spans="1:4">
      <c r="A210" s="89"/>
      <c r="B210" s="90"/>
      <c r="C210" s="87" t="str">
        <f t="shared" ca="1" si="3"/>
        <v/>
      </c>
      <c r="D210" s="43"/>
    </row>
    <row r="211" spans="1:4">
      <c r="A211" s="89"/>
      <c r="B211" s="90"/>
      <c r="C211" s="87" t="str">
        <f t="shared" ca="1" si="3"/>
        <v/>
      </c>
      <c r="D211" s="43"/>
    </row>
    <row r="212" spans="1:4">
      <c r="A212" s="89"/>
      <c r="B212" s="90"/>
      <c r="C212" s="87" t="str">
        <f t="shared" ca="1" si="3"/>
        <v/>
      </c>
      <c r="D212" s="43"/>
    </row>
    <row r="213" spans="1:4">
      <c r="A213" s="89"/>
      <c r="B213" s="90"/>
      <c r="C213" s="87" t="str">
        <f t="shared" ca="1" si="3"/>
        <v/>
      </c>
      <c r="D213" s="43"/>
    </row>
    <row r="214" spans="1:4">
      <c r="A214" s="89"/>
      <c r="B214" s="90"/>
      <c r="C214" s="87" t="str">
        <f t="shared" ca="1" si="3"/>
        <v/>
      </c>
      <c r="D214" s="43"/>
    </row>
    <row r="215" spans="1:4">
      <c r="A215" s="89"/>
      <c r="B215" s="90"/>
      <c r="C215" s="87" t="str">
        <f t="shared" ca="1" si="3"/>
        <v/>
      </c>
      <c r="D215" s="43"/>
    </row>
    <row r="216" spans="1:4">
      <c r="A216" s="89"/>
      <c r="B216" s="90"/>
      <c r="C216" s="87" t="str">
        <f t="shared" ca="1" si="3"/>
        <v/>
      </c>
      <c r="D216" s="43"/>
    </row>
    <row r="217" spans="1:4">
      <c r="A217" s="89"/>
      <c r="B217" s="90"/>
      <c r="C217" s="87" t="str">
        <f t="shared" ca="1" si="3"/>
        <v/>
      </c>
      <c r="D217" s="43"/>
    </row>
    <row r="218" spans="1:4">
      <c r="A218" s="89"/>
      <c r="B218" s="90"/>
      <c r="C218" s="87" t="str">
        <f t="shared" ca="1" si="3"/>
        <v/>
      </c>
      <c r="D218" s="43"/>
    </row>
    <row r="219" spans="1:4">
      <c r="A219" s="89"/>
      <c r="B219" s="90"/>
      <c r="C219" s="87" t="str">
        <f t="shared" ca="1" si="3"/>
        <v/>
      </c>
      <c r="D219" s="43"/>
    </row>
    <row r="220" spans="1:4">
      <c r="A220" s="89"/>
      <c r="B220" s="90"/>
      <c r="C220" s="87" t="str">
        <f t="shared" ca="1" si="3"/>
        <v/>
      </c>
      <c r="D220" s="43"/>
    </row>
    <row r="221" spans="1:4">
      <c r="A221" s="89"/>
      <c r="B221" s="90"/>
      <c r="C221" s="87" t="str">
        <f t="shared" ca="1" si="3"/>
        <v/>
      </c>
      <c r="D221" s="43"/>
    </row>
    <row r="222" spans="1:4">
      <c r="A222" s="89"/>
      <c r="B222" s="90"/>
      <c r="C222" s="87" t="str">
        <f t="shared" ca="1" si="3"/>
        <v/>
      </c>
      <c r="D222" s="43"/>
    </row>
    <row r="223" spans="1:4">
      <c r="A223" s="89"/>
      <c r="B223" s="90"/>
      <c r="C223" s="87" t="str">
        <f t="shared" ca="1" si="3"/>
        <v/>
      </c>
      <c r="D223" s="43"/>
    </row>
    <row r="224" spans="1:4">
      <c r="A224" s="89"/>
      <c r="B224" s="90"/>
      <c r="C224" s="87" t="str">
        <f t="shared" ca="1" si="3"/>
        <v/>
      </c>
      <c r="D224" s="43"/>
    </row>
    <row r="225" spans="1:4">
      <c r="A225" s="89"/>
      <c r="B225" s="90"/>
      <c r="C225" s="87" t="str">
        <f t="shared" ca="1" si="3"/>
        <v/>
      </c>
      <c r="D225" s="43"/>
    </row>
    <row r="226" spans="1:4">
      <c r="A226" s="89"/>
      <c r="B226" s="90"/>
      <c r="C226" s="87" t="str">
        <f t="shared" ca="1" si="3"/>
        <v/>
      </c>
      <c r="D226" s="43"/>
    </row>
    <row r="227" spans="1:4">
      <c r="A227" s="89"/>
      <c r="B227" s="90"/>
      <c r="C227" s="87" t="str">
        <f t="shared" ca="1" si="3"/>
        <v/>
      </c>
      <c r="D227" s="43"/>
    </row>
    <row r="228" spans="1:4">
      <c r="A228" s="89"/>
      <c r="B228" s="90"/>
      <c r="C228" s="87" t="str">
        <f t="shared" ca="1" si="3"/>
        <v/>
      </c>
      <c r="D228" s="43"/>
    </row>
    <row r="229" spans="1:4">
      <c r="A229" s="89"/>
      <c r="B229" s="90"/>
      <c r="C229" s="87" t="str">
        <f t="shared" ca="1" si="3"/>
        <v/>
      </c>
      <c r="D229" s="43"/>
    </row>
    <row r="230" spans="1:4">
      <c r="A230" s="89"/>
      <c r="B230" s="90"/>
      <c r="C230" s="87" t="str">
        <f t="shared" ca="1" si="3"/>
        <v/>
      </c>
      <c r="D230" s="43"/>
    </row>
    <row r="231" spans="1:4">
      <c r="A231" s="89"/>
      <c r="B231" s="90"/>
      <c r="C231" s="87" t="str">
        <f t="shared" ca="1" si="3"/>
        <v/>
      </c>
      <c r="D231" s="43"/>
    </row>
    <row r="232" spans="1:4">
      <c r="A232" s="89"/>
      <c r="B232" s="90"/>
      <c r="C232" s="87" t="str">
        <f t="shared" ca="1" si="3"/>
        <v/>
      </c>
      <c r="D232" s="43"/>
    </row>
    <row r="233" spans="1:4">
      <c r="A233" s="89"/>
      <c r="B233" s="90"/>
      <c r="C233" s="87" t="str">
        <f t="shared" ca="1" si="3"/>
        <v/>
      </c>
      <c r="D233" s="43"/>
    </row>
    <row r="234" spans="1:4">
      <c r="A234" s="89"/>
      <c r="B234" s="90"/>
      <c r="C234" s="87" t="str">
        <f t="shared" ca="1" si="3"/>
        <v/>
      </c>
      <c r="D234" s="43"/>
    </row>
    <row r="235" spans="1:4">
      <c r="A235" s="89"/>
      <c r="B235" s="90"/>
      <c r="C235" s="87" t="str">
        <f t="shared" ca="1" si="3"/>
        <v/>
      </c>
      <c r="D235" s="43"/>
    </row>
    <row r="236" spans="1:4">
      <c r="A236" s="89"/>
      <c r="B236" s="90"/>
      <c r="C236" s="87" t="str">
        <f t="shared" ca="1" si="3"/>
        <v/>
      </c>
      <c r="D236" s="43"/>
    </row>
    <row r="237" spans="1:4">
      <c r="A237" s="89"/>
      <c r="B237" s="90"/>
      <c r="C237" s="87" t="str">
        <f t="shared" ca="1" si="3"/>
        <v/>
      </c>
      <c r="D237" s="43"/>
    </row>
    <row r="238" spans="1:4">
      <c r="A238" s="89"/>
      <c r="B238" s="90"/>
      <c r="C238" s="87" t="str">
        <f t="shared" ca="1" si="3"/>
        <v/>
      </c>
      <c r="D238" s="43"/>
    </row>
    <row r="239" spans="1:4">
      <c r="A239" s="89"/>
      <c r="B239" s="90"/>
      <c r="C239" s="87" t="str">
        <f t="shared" ca="1" si="3"/>
        <v/>
      </c>
      <c r="D239" s="43"/>
    </row>
    <row r="240" spans="1:4">
      <c r="A240" s="89"/>
      <c r="B240" s="90"/>
      <c r="C240" s="87" t="str">
        <f t="shared" ca="1" si="3"/>
        <v/>
      </c>
      <c r="D240" s="43"/>
    </row>
    <row r="241" spans="1:4">
      <c r="A241" s="89"/>
      <c r="B241" s="90"/>
      <c r="C241" s="87" t="str">
        <f t="shared" ca="1" si="3"/>
        <v/>
      </c>
      <c r="D241" s="43"/>
    </row>
    <row r="242" spans="1:4">
      <c r="A242" s="89"/>
      <c r="B242" s="90"/>
      <c r="C242" s="87" t="str">
        <f t="shared" ca="1" si="3"/>
        <v/>
      </c>
      <c r="D242" s="43"/>
    </row>
    <row r="243" spans="1:4">
      <c r="A243" s="89"/>
      <c r="B243" s="90"/>
      <c r="C243" s="87" t="str">
        <f t="shared" ca="1" si="3"/>
        <v/>
      </c>
      <c r="D243" s="43"/>
    </row>
    <row r="244" spans="1:4">
      <c r="A244" s="89"/>
      <c r="B244" s="90"/>
      <c r="C244" s="87" t="str">
        <f t="shared" ca="1" si="3"/>
        <v/>
      </c>
      <c r="D244" s="43"/>
    </row>
    <row r="245" spans="1:4">
      <c r="A245" s="89"/>
      <c r="B245" s="90"/>
      <c r="C245" s="87" t="str">
        <f t="shared" ca="1" si="3"/>
        <v/>
      </c>
      <c r="D245" s="43"/>
    </row>
    <row r="246" spans="1:4">
      <c r="A246" s="89"/>
      <c r="B246" s="90"/>
      <c r="C246" s="87" t="str">
        <f t="shared" ca="1" si="3"/>
        <v/>
      </c>
      <c r="D246" s="43"/>
    </row>
    <row r="247" spans="1:4">
      <c r="A247" s="89"/>
      <c r="B247" s="90"/>
      <c r="C247" s="87" t="str">
        <f t="shared" ca="1" si="3"/>
        <v/>
      </c>
      <c r="D247" s="43"/>
    </row>
    <row r="248" spans="1:4">
      <c r="A248" s="89"/>
      <c r="B248" s="90"/>
      <c r="C248" s="87" t="str">
        <f t="shared" ca="1" si="3"/>
        <v/>
      </c>
      <c r="D248" s="43"/>
    </row>
    <row r="249" spans="1:4">
      <c r="A249" s="89"/>
      <c r="B249" s="90"/>
      <c r="C249" s="87" t="str">
        <f t="shared" ca="1" si="3"/>
        <v/>
      </c>
      <c r="D249" s="43"/>
    </row>
    <row r="250" spans="1:4">
      <c r="A250" s="89"/>
      <c r="B250" s="90"/>
      <c r="C250" s="87" t="str">
        <f t="shared" ca="1" si="3"/>
        <v/>
      </c>
      <c r="D250" s="43"/>
    </row>
    <row r="251" spans="1:4">
      <c r="A251" s="89"/>
      <c r="B251" s="90"/>
      <c r="C251" s="87" t="str">
        <f t="shared" ca="1" si="3"/>
        <v/>
      </c>
      <c r="D251" s="43"/>
    </row>
    <row r="252" spans="1:4">
      <c r="A252" s="89"/>
      <c r="B252" s="90"/>
      <c r="C252" s="87" t="str">
        <f t="shared" ca="1" si="3"/>
        <v/>
      </c>
      <c r="D252" s="43"/>
    </row>
    <row r="253" spans="1:4">
      <c r="A253" s="89"/>
      <c r="B253" s="90"/>
      <c r="C253" s="87" t="str">
        <f t="shared" ca="1" si="3"/>
        <v/>
      </c>
      <c r="D253" s="43"/>
    </row>
    <row r="254" spans="1:4">
      <c r="A254" s="89"/>
      <c r="B254" s="90"/>
      <c r="C254" s="87" t="str">
        <f t="shared" ca="1" si="3"/>
        <v/>
      </c>
      <c r="D254" s="43"/>
    </row>
    <row r="255" spans="1:4">
      <c r="A255" s="89"/>
      <c r="B255" s="90"/>
      <c r="C255" s="87" t="str">
        <f t="shared" ca="1" si="3"/>
        <v/>
      </c>
      <c r="D255" s="43"/>
    </row>
    <row r="256" spans="1:4">
      <c r="A256" s="89"/>
      <c r="B256" s="90"/>
      <c r="C256" s="87" t="str">
        <f t="shared" ca="1" si="3"/>
        <v/>
      </c>
      <c r="D256" s="43"/>
    </row>
    <row r="257" spans="1:4">
      <c r="A257" s="89"/>
      <c r="B257" s="90"/>
      <c r="C257" s="87" t="str">
        <f t="shared" ca="1" si="3"/>
        <v/>
      </c>
      <c r="D257" s="43"/>
    </row>
    <row r="258" spans="1:4">
      <c r="A258" s="89"/>
      <c r="B258" s="90"/>
      <c r="C258" s="87" t="str">
        <f t="shared" ca="1" si="3"/>
        <v/>
      </c>
      <c r="D258" s="43"/>
    </row>
    <row r="259" spans="1:4">
      <c r="A259" s="89"/>
      <c r="B259" s="90"/>
      <c r="C259" s="87" t="str">
        <f t="shared" ref="C259:C322" ca="1" si="4">IF(A259&lt;&gt;"", IF(C259="", NOW(), C259), "")</f>
        <v/>
      </c>
      <c r="D259" s="43"/>
    </row>
    <row r="260" spans="1:4">
      <c r="A260" s="89"/>
      <c r="B260" s="90"/>
      <c r="C260" s="87" t="str">
        <f t="shared" ca="1" si="4"/>
        <v/>
      </c>
      <c r="D260" s="43"/>
    </row>
    <row r="261" spans="1:4">
      <c r="A261" s="89"/>
      <c r="B261" s="90"/>
      <c r="C261" s="87" t="str">
        <f t="shared" ca="1" si="4"/>
        <v/>
      </c>
      <c r="D261" s="43"/>
    </row>
    <row r="262" spans="1:4">
      <c r="A262" s="89"/>
      <c r="B262" s="90"/>
      <c r="C262" s="87" t="str">
        <f t="shared" ca="1" si="4"/>
        <v/>
      </c>
      <c r="D262" s="43"/>
    </row>
    <row r="263" spans="1:4">
      <c r="A263" s="89"/>
      <c r="B263" s="90"/>
      <c r="C263" s="87" t="str">
        <f t="shared" ca="1" si="4"/>
        <v/>
      </c>
      <c r="D263" s="43"/>
    </row>
    <row r="264" spans="1:4">
      <c r="A264" s="89"/>
      <c r="B264" s="90"/>
      <c r="C264" s="87" t="str">
        <f t="shared" ca="1" si="4"/>
        <v/>
      </c>
      <c r="D264" s="43"/>
    </row>
    <row r="265" spans="1:4">
      <c r="A265" s="89"/>
      <c r="B265" s="90"/>
      <c r="C265" s="87" t="str">
        <f t="shared" ca="1" si="4"/>
        <v/>
      </c>
      <c r="D265" s="43"/>
    </row>
    <row r="266" spans="1:4">
      <c r="A266" s="89"/>
      <c r="B266" s="90"/>
      <c r="C266" s="87" t="str">
        <f t="shared" ca="1" si="4"/>
        <v/>
      </c>
      <c r="D266" s="43"/>
    </row>
    <row r="267" spans="1:4">
      <c r="A267" s="89"/>
      <c r="B267" s="90"/>
      <c r="C267" s="87" t="str">
        <f t="shared" ca="1" si="4"/>
        <v/>
      </c>
      <c r="D267" s="43"/>
    </row>
    <row r="268" spans="1:4">
      <c r="A268" s="89"/>
      <c r="B268" s="90"/>
      <c r="C268" s="87" t="str">
        <f t="shared" ca="1" si="4"/>
        <v/>
      </c>
      <c r="D268" s="43"/>
    </row>
    <row r="269" spans="1:4">
      <c r="A269" s="89"/>
      <c r="B269" s="90"/>
      <c r="C269" s="87" t="str">
        <f t="shared" ca="1" si="4"/>
        <v/>
      </c>
      <c r="D269" s="43"/>
    </row>
    <row r="270" spans="1:4">
      <c r="A270" s="89"/>
      <c r="B270" s="90"/>
      <c r="C270" s="87" t="str">
        <f t="shared" ca="1" si="4"/>
        <v/>
      </c>
      <c r="D270" s="43"/>
    </row>
    <row r="271" spans="1:4">
      <c r="A271" s="89"/>
      <c r="B271" s="90"/>
      <c r="C271" s="87" t="str">
        <f t="shared" ca="1" si="4"/>
        <v/>
      </c>
      <c r="D271" s="43"/>
    </row>
    <row r="272" spans="1:4">
      <c r="A272" s="89"/>
      <c r="B272" s="90"/>
      <c r="C272" s="87" t="str">
        <f t="shared" ca="1" si="4"/>
        <v/>
      </c>
      <c r="D272" s="43"/>
    </row>
    <row r="273" spans="1:4">
      <c r="A273" s="89"/>
      <c r="B273" s="90"/>
      <c r="C273" s="87" t="str">
        <f t="shared" ca="1" si="4"/>
        <v/>
      </c>
      <c r="D273" s="43"/>
    </row>
    <row r="274" spans="1:4">
      <c r="A274" s="89"/>
      <c r="B274" s="90"/>
      <c r="C274" s="87" t="str">
        <f t="shared" ca="1" si="4"/>
        <v/>
      </c>
      <c r="D274" s="43"/>
    </row>
    <row r="275" spans="1:4">
      <c r="A275" s="89"/>
      <c r="B275" s="90"/>
      <c r="C275" s="87" t="str">
        <f t="shared" ca="1" si="4"/>
        <v/>
      </c>
      <c r="D275" s="43"/>
    </row>
    <row r="276" spans="1:4">
      <c r="A276" s="89"/>
      <c r="B276" s="90"/>
      <c r="C276" s="87" t="str">
        <f t="shared" ca="1" si="4"/>
        <v/>
      </c>
      <c r="D276" s="43"/>
    </row>
    <row r="277" spans="1:4">
      <c r="A277" s="89"/>
      <c r="B277" s="90"/>
      <c r="C277" s="87" t="str">
        <f t="shared" ca="1" si="4"/>
        <v/>
      </c>
      <c r="D277" s="43"/>
    </row>
    <row r="278" spans="1:4">
      <c r="A278" s="89"/>
      <c r="B278" s="90"/>
      <c r="C278" s="87" t="str">
        <f t="shared" ca="1" si="4"/>
        <v/>
      </c>
      <c r="D278" s="43"/>
    </row>
    <row r="279" spans="1:4">
      <c r="A279" s="89"/>
      <c r="B279" s="90"/>
      <c r="C279" s="87" t="str">
        <f t="shared" ca="1" si="4"/>
        <v/>
      </c>
      <c r="D279" s="43"/>
    </row>
    <row r="280" spans="1:4">
      <c r="A280" s="89"/>
      <c r="B280" s="90"/>
      <c r="C280" s="87" t="str">
        <f t="shared" ca="1" si="4"/>
        <v/>
      </c>
      <c r="D280" s="43"/>
    </row>
    <row r="281" spans="1:4">
      <c r="A281" s="89"/>
      <c r="B281" s="90"/>
      <c r="C281" s="87" t="str">
        <f t="shared" ca="1" si="4"/>
        <v/>
      </c>
      <c r="D281" s="43"/>
    </row>
    <row r="282" spans="1:4">
      <c r="A282" s="89"/>
      <c r="B282" s="90"/>
      <c r="C282" s="87" t="str">
        <f t="shared" ca="1" si="4"/>
        <v/>
      </c>
      <c r="D282" s="43"/>
    </row>
    <row r="283" spans="1:4">
      <c r="A283" s="89"/>
      <c r="B283" s="90"/>
      <c r="C283" s="87" t="str">
        <f t="shared" ca="1" si="4"/>
        <v/>
      </c>
      <c r="D283" s="43"/>
    </row>
    <row r="284" spans="1:4">
      <c r="A284" s="89"/>
      <c r="B284" s="90"/>
      <c r="C284" s="87" t="str">
        <f t="shared" ca="1" si="4"/>
        <v/>
      </c>
      <c r="D284" s="43"/>
    </row>
    <row r="285" spans="1:4">
      <c r="A285" s="89"/>
      <c r="B285" s="90"/>
      <c r="C285" s="87" t="str">
        <f t="shared" ca="1" si="4"/>
        <v/>
      </c>
      <c r="D285" s="43"/>
    </row>
    <row r="286" spans="1:4">
      <c r="A286" s="89"/>
      <c r="B286" s="90"/>
      <c r="C286" s="87" t="str">
        <f t="shared" ca="1" si="4"/>
        <v/>
      </c>
      <c r="D286" s="43"/>
    </row>
    <row r="287" spans="1:4">
      <c r="A287" s="89"/>
      <c r="B287" s="90"/>
      <c r="C287" s="87" t="str">
        <f t="shared" ca="1" si="4"/>
        <v/>
      </c>
      <c r="D287" s="43"/>
    </row>
    <row r="288" spans="1:4">
      <c r="A288" s="89"/>
      <c r="B288" s="90"/>
      <c r="C288" s="87" t="str">
        <f t="shared" ca="1" si="4"/>
        <v/>
      </c>
      <c r="D288" s="43"/>
    </row>
    <row r="289" spans="1:4">
      <c r="A289" s="89"/>
      <c r="B289" s="90"/>
      <c r="C289" s="87" t="str">
        <f t="shared" ca="1" si="4"/>
        <v/>
      </c>
      <c r="D289" s="43"/>
    </row>
    <row r="290" spans="1:4">
      <c r="A290" s="89"/>
      <c r="B290" s="90"/>
      <c r="C290" s="87" t="str">
        <f t="shared" ca="1" si="4"/>
        <v/>
      </c>
      <c r="D290" s="43"/>
    </row>
    <row r="291" spans="1:4">
      <c r="A291" s="89"/>
      <c r="B291" s="90"/>
      <c r="C291" s="87" t="str">
        <f t="shared" ca="1" si="4"/>
        <v/>
      </c>
      <c r="D291" s="43"/>
    </row>
    <row r="292" spans="1:4">
      <c r="A292" s="89"/>
      <c r="B292" s="90"/>
      <c r="C292" s="87" t="str">
        <f t="shared" ca="1" si="4"/>
        <v/>
      </c>
      <c r="D292" s="43"/>
    </row>
    <row r="293" spans="1:4">
      <c r="A293" s="89"/>
      <c r="B293" s="90"/>
      <c r="C293" s="87" t="str">
        <f t="shared" ca="1" si="4"/>
        <v/>
      </c>
      <c r="D293" s="43"/>
    </row>
    <row r="294" spans="1:4">
      <c r="A294" s="89"/>
      <c r="B294" s="90"/>
      <c r="C294" s="87" t="str">
        <f t="shared" ca="1" si="4"/>
        <v/>
      </c>
      <c r="D294" s="43"/>
    </row>
    <row r="295" spans="1:4">
      <c r="A295" s="89"/>
      <c r="B295" s="90"/>
      <c r="C295" s="87" t="str">
        <f t="shared" ca="1" si="4"/>
        <v/>
      </c>
      <c r="D295" s="43"/>
    </row>
    <row r="296" spans="1:4">
      <c r="A296" s="89"/>
      <c r="B296" s="90"/>
      <c r="C296" s="87" t="str">
        <f t="shared" ca="1" si="4"/>
        <v/>
      </c>
      <c r="D296" s="43"/>
    </row>
    <row r="297" spans="1:4">
      <c r="A297" s="89"/>
      <c r="B297" s="90"/>
      <c r="C297" s="87" t="str">
        <f t="shared" ca="1" si="4"/>
        <v/>
      </c>
      <c r="D297" s="43"/>
    </row>
    <row r="298" spans="1:4">
      <c r="A298" s="89"/>
      <c r="B298" s="90"/>
      <c r="C298" s="87" t="str">
        <f t="shared" ca="1" si="4"/>
        <v/>
      </c>
      <c r="D298" s="43"/>
    </row>
    <row r="299" spans="1:4">
      <c r="A299" s="89"/>
      <c r="B299" s="90"/>
      <c r="C299" s="87" t="str">
        <f t="shared" ca="1" si="4"/>
        <v/>
      </c>
      <c r="D299" s="43"/>
    </row>
    <row r="300" spans="1:4">
      <c r="A300" s="89"/>
      <c r="B300" s="90"/>
      <c r="C300" s="87" t="str">
        <f t="shared" ca="1" si="4"/>
        <v/>
      </c>
      <c r="D300" s="43"/>
    </row>
    <row r="301" spans="1:4">
      <c r="A301" s="89"/>
      <c r="B301" s="90"/>
      <c r="C301" s="87" t="str">
        <f t="shared" ca="1" si="4"/>
        <v/>
      </c>
      <c r="D301" s="43"/>
    </row>
    <row r="302" spans="1:4">
      <c r="A302" s="89"/>
      <c r="B302" s="90"/>
      <c r="C302" s="87" t="str">
        <f t="shared" ca="1" si="4"/>
        <v/>
      </c>
      <c r="D302" s="43"/>
    </row>
    <row r="303" spans="1:4">
      <c r="A303" s="89"/>
      <c r="B303" s="90"/>
      <c r="C303" s="87" t="str">
        <f t="shared" ca="1" si="4"/>
        <v/>
      </c>
      <c r="D303" s="43"/>
    </row>
    <row r="304" spans="1:4">
      <c r="A304" s="89"/>
      <c r="B304" s="90"/>
      <c r="C304" s="87" t="str">
        <f t="shared" ca="1" si="4"/>
        <v/>
      </c>
      <c r="D304" s="43"/>
    </row>
    <row r="305" spans="1:4">
      <c r="A305" s="89"/>
      <c r="B305" s="90"/>
      <c r="C305" s="87" t="str">
        <f t="shared" ca="1" si="4"/>
        <v/>
      </c>
      <c r="D305" s="43"/>
    </row>
    <row r="306" spans="1:4">
      <c r="A306" s="89"/>
      <c r="B306" s="90"/>
      <c r="C306" s="87" t="str">
        <f t="shared" ca="1" si="4"/>
        <v/>
      </c>
      <c r="D306" s="43"/>
    </row>
    <row r="307" spans="1:4">
      <c r="A307" s="89"/>
      <c r="B307" s="90"/>
      <c r="C307" s="87" t="str">
        <f t="shared" ca="1" si="4"/>
        <v/>
      </c>
      <c r="D307" s="43"/>
    </row>
    <row r="308" spans="1:4">
      <c r="A308" s="89"/>
      <c r="B308" s="90"/>
      <c r="C308" s="87" t="str">
        <f t="shared" ca="1" si="4"/>
        <v/>
      </c>
      <c r="D308" s="43"/>
    </row>
    <row r="309" spans="1:4">
      <c r="A309" s="89"/>
      <c r="B309" s="90"/>
      <c r="C309" s="87" t="str">
        <f t="shared" ca="1" si="4"/>
        <v/>
      </c>
      <c r="D309" s="43"/>
    </row>
    <row r="310" spans="1:4">
      <c r="A310" s="89"/>
      <c r="B310" s="90"/>
      <c r="C310" s="87" t="str">
        <f t="shared" ca="1" si="4"/>
        <v/>
      </c>
      <c r="D310" s="43"/>
    </row>
    <row r="311" spans="1:4">
      <c r="A311" s="89"/>
      <c r="B311" s="90"/>
      <c r="C311" s="87" t="str">
        <f t="shared" ca="1" si="4"/>
        <v/>
      </c>
      <c r="D311" s="43"/>
    </row>
    <row r="312" spans="1:4">
      <c r="A312" s="89"/>
      <c r="B312" s="90"/>
      <c r="C312" s="87" t="str">
        <f t="shared" ca="1" si="4"/>
        <v/>
      </c>
      <c r="D312" s="43"/>
    </row>
    <row r="313" spans="1:4">
      <c r="A313" s="89"/>
      <c r="B313" s="90"/>
      <c r="C313" s="87" t="str">
        <f t="shared" ca="1" si="4"/>
        <v/>
      </c>
      <c r="D313" s="43"/>
    </row>
    <row r="314" spans="1:4">
      <c r="A314" s="89"/>
      <c r="B314" s="90"/>
      <c r="C314" s="87" t="str">
        <f t="shared" ca="1" si="4"/>
        <v/>
      </c>
      <c r="D314" s="43"/>
    </row>
    <row r="315" spans="1:4">
      <c r="A315" s="89"/>
      <c r="B315" s="90"/>
      <c r="C315" s="87" t="str">
        <f t="shared" ca="1" si="4"/>
        <v/>
      </c>
      <c r="D315" s="43"/>
    </row>
    <row r="316" spans="1:4">
      <c r="A316" s="89"/>
      <c r="B316" s="90"/>
      <c r="C316" s="87" t="str">
        <f t="shared" ca="1" si="4"/>
        <v/>
      </c>
      <c r="D316" s="43"/>
    </row>
    <row r="317" spans="1:4">
      <c r="A317" s="89"/>
      <c r="B317" s="90"/>
      <c r="C317" s="87" t="str">
        <f t="shared" ca="1" si="4"/>
        <v/>
      </c>
      <c r="D317" s="43"/>
    </row>
    <row r="318" spans="1:4">
      <c r="A318" s="89"/>
      <c r="B318" s="90"/>
      <c r="C318" s="87" t="str">
        <f t="shared" ca="1" si="4"/>
        <v/>
      </c>
      <c r="D318" s="43"/>
    </row>
    <row r="319" spans="1:4">
      <c r="A319" s="89"/>
      <c r="B319" s="90"/>
      <c r="C319" s="87" t="str">
        <f t="shared" ca="1" si="4"/>
        <v/>
      </c>
      <c r="D319" s="43"/>
    </row>
    <row r="320" spans="1:4">
      <c r="A320" s="89"/>
      <c r="B320" s="90"/>
      <c r="C320" s="87" t="str">
        <f t="shared" ca="1" si="4"/>
        <v/>
      </c>
      <c r="D320" s="43"/>
    </row>
    <row r="321" spans="1:4">
      <c r="A321" s="89"/>
      <c r="B321" s="90"/>
      <c r="C321" s="87" t="str">
        <f t="shared" ca="1" si="4"/>
        <v/>
      </c>
      <c r="D321" s="43"/>
    </row>
    <row r="322" spans="1:4">
      <c r="A322" s="89"/>
      <c r="B322" s="90"/>
      <c r="C322" s="87" t="str">
        <f t="shared" ca="1" si="4"/>
        <v/>
      </c>
      <c r="D322" s="43"/>
    </row>
    <row r="323" spans="1:4">
      <c r="A323" s="89"/>
      <c r="B323" s="90"/>
      <c r="C323" s="87" t="str">
        <f t="shared" ref="C323:C386" ca="1" si="5">IF(A323&lt;&gt;"", IF(C323="", NOW(), C323), "")</f>
        <v/>
      </c>
      <c r="D323" s="43"/>
    </row>
    <row r="324" spans="1:4">
      <c r="A324" s="89"/>
      <c r="B324" s="90"/>
      <c r="C324" s="87" t="str">
        <f t="shared" ca="1" si="5"/>
        <v/>
      </c>
      <c r="D324" s="43"/>
    </row>
    <row r="325" spans="1:4">
      <c r="A325" s="89"/>
      <c r="B325" s="90"/>
      <c r="C325" s="87" t="str">
        <f t="shared" ca="1" si="5"/>
        <v/>
      </c>
      <c r="D325" s="43"/>
    </row>
    <row r="326" spans="1:4">
      <c r="A326" s="89"/>
      <c r="B326" s="90"/>
      <c r="C326" s="87" t="str">
        <f t="shared" ca="1" si="5"/>
        <v/>
      </c>
      <c r="D326" s="43"/>
    </row>
    <row r="327" spans="1:4">
      <c r="A327" s="89"/>
      <c r="B327" s="90"/>
      <c r="C327" s="87" t="str">
        <f t="shared" ca="1" si="5"/>
        <v/>
      </c>
      <c r="D327" s="43"/>
    </row>
    <row r="328" spans="1:4">
      <c r="A328" s="89"/>
      <c r="B328" s="90"/>
      <c r="C328" s="87" t="str">
        <f t="shared" ca="1" si="5"/>
        <v/>
      </c>
      <c r="D328" s="43"/>
    </row>
    <row r="329" spans="1:4">
      <c r="A329" s="89"/>
      <c r="B329" s="90"/>
      <c r="C329" s="87" t="str">
        <f t="shared" ca="1" si="5"/>
        <v/>
      </c>
      <c r="D329" s="43"/>
    </row>
    <row r="330" spans="1:4">
      <c r="A330" s="89"/>
      <c r="B330" s="90"/>
      <c r="C330" s="87" t="str">
        <f t="shared" ca="1" si="5"/>
        <v/>
      </c>
      <c r="D330" s="43"/>
    </row>
    <row r="331" spans="1:4">
      <c r="A331" s="89"/>
      <c r="B331" s="90"/>
      <c r="C331" s="87" t="str">
        <f t="shared" ca="1" si="5"/>
        <v/>
      </c>
      <c r="D331" s="43"/>
    </row>
    <row r="332" spans="1:4">
      <c r="A332" s="89"/>
      <c r="B332" s="90"/>
      <c r="C332" s="87" t="str">
        <f t="shared" ca="1" si="5"/>
        <v/>
      </c>
      <c r="D332" s="43"/>
    </row>
    <row r="333" spans="1:4">
      <c r="A333" s="89"/>
      <c r="B333" s="90"/>
      <c r="C333" s="87" t="str">
        <f t="shared" ca="1" si="5"/>
        <v/>
      </c>
      <c r="D333" s="43"/>
    </row>
    <row r="334" spans="1:4">
      <c r="A334" s="89"/>
      <c r="B334" s="90"/>
      <c r="C334" s="87" t="str">
        <f t="shared" ca="1" si="5"/>
        <v/>
      </c>
      <c r="D334" s="43"/>
    </row>
    <row r="335" spans="1:4">
      <c r="A335" s="89"/>
      <c r="B335" s="90"/>
      <c r="C335" s="87" t="str">
        <f t="shared" ca="1" si="5"/>
        <v/>
      </c>
      <c r="D335" s="43"/>
    </row>
    <row r="336" spans="1:4">
      <c r="A336" s="89"/>
      <c r="B336" s="90"/>
      <c r="C336" s="87" t="str">
        <f t="shared" ca="1" si="5"/>
        <v/>
      </c>
      <c r="D336" s="43"/>
    </row>
    <row r="337" spans="1:4">
      <c r="A337" s="89"/>
      <c r="B337" s="90"/>
      <c r="C337" s="87" t="str">
        <f t="shared" ca="1" si="5"/>
        <v/>
      </c>
      <c r="D337" s="43"/>
    </row>
    <row r="338" spans="1:4">
      <c r="A338" s="89"/>
      <c r="B338" s="90"/>
      <c r="C338" s="87" t="str">
        <f t="shared" ca="1" si="5"/>
        <v/>
      </c>
      <c r="D338" s="43"/>
    </row>
    <row r="339" spans="1:4">
      <c r="A339" s="89"/>
      <c r="B339" s="90"/>
      <c r="C339" s="87" t="str">
        <f t="shared" ca="1" si="5"/>
        <v/>
      </c>
      <c r="D339" s="43"/>
    </row>
    <row r="340" spans="1:4">
      <c r="A340" s="89"/>
      <c r="B340" s="90"/>
      <c r="C340" s="87" t="str">
        <f t="shared" ca="1" si="5"/>
        <v/>
      </c>
      <c r="D340" s="43"/>
    </row>
    <row r="341" spans="1:4">
      <c r="A341" s="89"/>
      <c r="B341" s="90"/>
      <c r="C341" s="87" t="str">
        <f t="shared" ca="1" si="5"/>
        <v/>
      </c>
      <c r="D341" s="43"/>
    </row>
    <row r="342" spans="1:4">
      <c r="A342" s="89"/>
      <c r="B342" s="90"/>
      <c r="C342" s="87" t="str">
        <f t="shared" ca="1" si="5"/>
        <v/>
      </c>
      <c r="D342" s="43"/>
    </row>
    <row r="343" spans="1:4">
      <c r="A343" s="89"/>
      <c r="B343" s="90"/>
      <c r="C343" s="87" t="str">
        <f t="shared" ca="1" si="5"/>
        <v/>
      </c>
      <c r="D343" s="43"/>
    </row>
    <row r="344" spans="1:4">
      <c r="A344" s="89"/>
      <c r="B344" s="90"/>
      <c r="C344" s="87" t="str">
        <f t="shared" ca="1" si="5"/>
        <v/>
      </c>
      <c r="D344" s="43"/>
    </row>
    <row r="345" spans="1:4">
      <c r="A345" s="89"/>
      <c r="B345" s="90"/>
      <c r="C345" s="87" t="str">
        <f t="shared" ca="1" si="5"/>
        <v/>
      </c>
      <c r="D345" s="43"/>
    </row>
    <row r="346" spans="1:4">
      <c r="A346" s="89"/>
      <c r="B346" s="90"/>
      <c r="C346" s="87" t="str">
        <f t="shared" ca="1" si="5"/>
        <v/>
      </c>
      <c r="D346" s="43"/>
    </row>
    <row r="347" spans="1:4">
      <c r="A347" s="89"/>
      <c r="B347" s="90"/>
      <c r="C347" s="87" t="str">
        <f t="shared" ca="1" si="5"/>
        <v/>
      </c>
      <c r="D347" s="43"/>
    </row>
    <row r="348" spans="1:4">
      <c r="A348" s="89"/>
      <c r="B348" s="90"/>
      <c r="C348" s="87" t="str">
        <f t="shared" ca="1" si="5"/>
        <v/>
      </c>
      <c r="D348" s="43"/>
    </row>
    <row r="349" spans="1:4">
      <c r="A349" s="89"/>
      <c r="B349" s="90"/>
      <c r="C349" s="87" t="str">
        <f t="shared" ca="1" si="5"/>
        <v/>
      </c>
      <c r="D349" s="43"/>
    </row>
    <row r="350" spans="1:4">
      <c r="A350" s="89"/>
      <c r="B350" s="90"/>
      <c r="C350" s="87" t="str">
        <f t="shared" ca="1" si="5"/>
        <v/>
      </c>
      <c r="D350" s="43"/>
    </row>
    <row r="351" spans="1:4">
      <c r="A351" s="89"/>
      <c r="B351" s="90"/>
      <c r="C351" s="87" t="str">
        <f t="shared" ca="1" si="5"/>
        <v/>
      </c>
      <c r="D351" s="43"/>
    </row>
    <row r="352" spans="1:4">
      <c r="A352" s="89"/>
      <c r="B352" s="90"/>
      <c r="C352" s="87" t="str">
        <f t="shared" ca="1" si="5"/>
        <v/>
      </c>
      <c r="D352" s="43"/>
    </row>
    <row r="353" spans="1:4">
      <c r="A353" s="89"/>
      <c r="B353" s="90"/>
      <c r="C353" s="87" t="str">
        <f t="shared" ca="1" si="5"/>
        <v/>
      </c>
      <c r="D353" s="43"/>
    </row>
    <row r="354" spans="1:4">
      <c r="A354" s="89"/>
      <c r="B354" s="90"/>
      <c r="C354" s="87" t="str">
        <f t="shared" ca="1" si="5"/>
        <v/>
      </c>
      <c r="D354" s="43"/>
    </row>
    <row r="355" spans="1:4">
      <c r="A355" s="89"/>
      <c r="B355" s="90"/>
      <c r="C355" s="87" t="str">
        <f t="shared" ca="1" si="5"/>
        <v/>
      </c>
      <c r="D355" s="43"/>
    </row>
    <row r="356" spans="1:4">
      <c r="A356" s="89"/>
      <c r="B356" s="90"/>
      <c r="C356" s="87" t="str">
        <f t="shared" ca="1" si="5"/>
        <v/>
      </c>
      <c r="D356" s="43"/>
    </row>
    <row r="357" spans="1:4">
      <c r="A357" s="89"/>
      <c r="B357" s="90"/>
      <c r="C357" s="87" t="str">
        <f t="shared" ca="1" si="5"/>
        <v/>
      </c>
      <c r="D357" s="43"/>
    </row>
    <row r="358" spans="1:4">
      <c r="A358" s="89"/>
      <c r="B358" s="90"/>
      <c r="C358" s="87" t="str">
        <f t="shared" ca="1" si="5"/>
        <v/>
      </c>
      <c r="D358" s="43"/>
    </row>
    <row r="359" spans="1:4">
      <c r="A359" s="89"/>
      <c r="B359" s="90"/>
      <c r="C359" s="87" t="str">
        <f t="shared" ca="1" si="5"/>
        <v/>
      </c>
      <c r="D359" s="43"/>
    </row>
    <row r="360" spans="1:4">
      <c r="A360" s="89"/>
      <c r="B360" s="90"/>
      <c r="C360" s="87" t="str">
        <f t="shared" ca="1" si="5"/>
        <v/>
      </c>
      <c r="D360" s="43"/>
    </row>
    <row r="361" spans="1:4">
      <c r="A361" s="89"/>
      <c r="B361" s="90"/>
      <c r="C361" s="87" t="str">
        <f t="shared" ca="1" si="5"/>
        <v/>
      </c>
      <c r="D361" s="43"/>
    </row>
    <row r="362" spans="1:4">
      <c r="A362" s="89"/>
      <c r="B362" s="90"/>
      <c r="C362" s="87" t="str">
        <f t="shared" ca="1" si="5"/>
        <v/>
      </c>
      <c r="D362" s="43"/>
    </row>
    <row r="363" spans="1:4">
      <c r="A363" s="89"/>
      <c r="B363" s="90"/>
      <c r="C363" s="87" t="str">
        <f t="shared" ca="1" si="5"/>
        <v/>
      </c>
      <c r="D363" s="43"/>
    </row>
    <row r="364" spans="1:4">
      <c r="A364" s="89"/>
      <c r="B364" s="90"/>
      <c r="C364" s="87" t="str">
        <f t="shared" ca="1" si="5"/>
        <v/>
      </c>
      <c r="D364" s="43"/>
    </row>
    <row r="365" spans="1:4">
      <c r="A365" s="89"/>
      <c r="B365" s="90"/>
      <c r="C365" s="87" t="str">
        <f t="shared" ca="1" si="5"/>
        <v/>
      </c>
      <c r="D365" s="43"/>
    </row>
    <row r="366" spans="1:4">
      <c r="A366" s="89"/>
      <c r="B366" s="90"/>
      <c r="C366" s="87" t="str">
        <f t="shared" ca="1" si="5"/>
        <v/>
      </c>
      <c r="D366" s="43"/>
    </row>
    <row r="367" spans="1:4">
      <c r="A367" s="89"/>
      <c r="B367" s="90"/>
      <c r="C367" s="87" t="str">
        <f t="shared" ca="1" si="5"/>
        <v/>
      </c>
      <c r="D367" s="43"/>
    </row>
    <row r="368" spans="1:4">
      <c r="A368" s="89"/>
      <c r="B368" s="90"/>
      <c r="C368" s="87" t="str">
        <f t="shared" ca="1" si="5"/>
        <v/>
      </c>
      <c r="D368" s="43"/>
    </row>
    <row r="369" spans="1:4">
      <c r="A369" s="89"/>
      <c r="B369" s="90"/>
      <c r="C369" s="87" t="str">
        <f t="shared" ca="1" si="5"/>
        <v/>
      </c>
      <c r="D369" s="43"/>
    </row>
    <row r="370" spans="1:4">
      <c r="A370" s="89"/>
      <c r="B370" s="90"/>
      <c r="C370" s="87" t="str">
        <f t="shared" ca="1" si="5"/>
        <v/>
      </c>
      <c r="D370" s="43"/>
    </row>
    <row r="371" spans="1:4">
      <c r="A371" s="89"/>
      <c r="B371" s="90"/>
      <c r="C371" s="87" t="str">
        <f t="shared" ca="1" si="5"/>
        <v/>
      </c>
      <c r="D371" s="43"/>
    </row>
    <row r="372" spans="1:4">
      <c r="A372" s="89"/>
      <c r="B372" s="90"/>
      <c r="C372" s="87" t="str">
        <f t="shared" ca="1" si="5"/>
        <v/>
      </c>
      <c r="D372" s="43"/>
    </row>
    <row r="373" spans="1:4">
      <c r="A373" s="89"/>
      <c r="B373" s="90"/>
      <c r="C373" s="87" t="str">
        <f t="shared" ca="1" si="5"/>
        <v/>
      </c>
      <c r="D373" s="43"/>
    </row>
    <row r="374" spans="1:4">
      <c r="A374" s="89"/>
      <c r="B374" s="90"/>
      <c r="C374" s="87" t="str">
        <f t="shared" ca="1" si="5"/>
        <v/>
      </c>
      <c r="D374" s="43"/>
    </row>
    <row r="375" spans="1:4">
      <c r="A375" s="89"/>
      <c r="B375" s="90"/>
      <c r="C375" s="87" t="str">
        <f t="shared" ca="1" si="5"/>
        <v/>
      </c>
      <c r="D375" s="43"/>
    </row>
    <row r="376" spans="1:4">
      <c r="A376" s="89"/>
      <c r="B376" s="90"/>
      <c r="C376" s="87" t="str">
        <f t="shared" ca="1" si="5"/>
        <v/>
      </c>
      <c r="D376" s="43"/>
    </row>
    <row r="377" spans="1:4">
      <c r="A377" s="89"/>
      <c r="B377" s="90"/>
      <c r="C377" s="87" t="str">
        <f t="shared" ca="1" si="5"/>
        <v/>
      </c>
      <c r="D377" s="43"/>
    </row>
    <row r="378" spans="1:4">
      <c r="A378" s="89"/>
      <c r="B378" s="90"/>
      <c r="C378" s="87" t="str">
        <f t="shared" ca="1" si="5"/>
        <v/>
      </c>
      <c r="D378" s="43"/>
    </row>
    <row r="379" spans="1:4">
      <c r="A379" s="89"/>
      <c r="B379" s="90"/>
      <c r="C379" s="87" t="str">
        <f t="shared" ca="1" si="5"/>
        <v/>
      </c>
      <c r="D379" s="43"/>
    </row>
    <row r="380" spans="1:4">
      <c r="A380" s="89"/>
      <c r="B380" s="90"/>
      <c r="C380" s="87" t="str">
        <f t="shared" ca="1" si="5"/>
        <v/>
      </c>
      <c r="D380" s="43"/>
    </row>
    <row r="381" spans="1:4">
      <c r="A381" s="89"/>
      <c r="B381" s="90"/>
      <c r="C381" s="87" t="str">
        <f t="shared" ca="1" si="5"/>
        <v/>
      </c>
      <c r="D381" s="43"/>
    </row>
    <row r="382" spans="1:4">
      <c r="A382" s="89"/>
      <c r="B382" s="90"/>
      <c r="C382" s="87" t="str">
        <f t="shared" ca="1" si="5"/>
        <v/>
      </c>
      <c r="D382" s="43"/>
    </row>
    <row r="383" spans="1:4">
      <c r="A383" s="89"/>
      <c r="B383" s="90"/>
      <c r="C383" s="87" t="str">
        <f t="shared" ca="1" si="5"/>
        <v/>
      </c>
      <c r="D383" s="43"/>
    </row>
    <row r="384" spans="1:4">
      <c r="A384" s="89"/>
      <c r="B384" s="90"/>
      <c r="C384" s="87" t="str">
        <f t="shared" ca="1" si="5"/>
        <v/>
      </c>
      <c r="D384" s="43"/>
    </row>
    <row r="385" spans="1:4">
      <c r="A385" s="89"/>
      <c r="B385" s="90"/>
      <c r="C385" s="87" t="str">
        <f t="shared" ca="1" si="5"/>
        <v/>
      </c>
      <c r="D385" s="43"/>
    </row>
    <row r="386" spans="1:4">
      <c r="A386" s="89"/>
      <c r="B386" s="90"/>
      <c r="C386" s="87" t="str">
        <f t="shared" ca="1" si="5"/>
        <v/>
      </c>
      <c r="D386" s="43"/>
    </row>
    <row r="387" spans="1:4">
      <c r="A387" s="89"/>
      <c r="B387" s="90"/>
      <c r="C387" s="87" t="str">
        <f t="shared" ref="C387:C450" ca="1" si="6">IF(A387&lt;&gt;"", IF(C387="", NOW(), C387), "")</f>
        <v/>
      </c>
      <c r="D387" s="43"/>
    </row>
    <row r="388" spans="1:4">
      <c r="A388" s="89"/>
      <c r="B388" s="90"/>
      <c r="C388" s="87" t="str">
        <f t="shared" ca="1" si="6"/>
        <v/>
      </c>
      <c r="D388" s="43"/>
    </row>
    <row r="389" spans="1:4">
      <c r="A389" s="89"/>
      <c r="B389" s="90"/>
      <c r="C389" s="87" t="str">
        <f t="shared" ca="1" si="6"/>
        <v/>
      </c>
      <c r="D389" s="43"/>
    </row>
    <row r="390" spans="1:4">
      <c r="A390" s="89"/>
      <c r="B390" s="90"/>
      <c r="C390" s="87" t="str">
        <f t="shared" ca="1" si="6"/>
        <v/>
      </c>
      <c r="D390" s="43"/>
    </row>
    <row r="391" spans="1:4">
      <c r="A391" s="89"/>
      <c r="B391" s="90"/>
      <c r="C391" s="87" t="str">
        <f t="shared" ca="1" si="6"/>
        <v/>
      </c>
      <c r="D391" s="43"/>
    </row>
    <row r="392" spans="1:4">
      <c r="A392" s="89"/>
      <c r="B392" s="90"/>
      <c r="C392" s="87" t="str">
        <f t="shared" ca="1" si="6"/>
        <v/>
      </c>
      <c r="D392" s="43"/>
    </row>
    <row r="393" spans="1:4">
      <c r="A393" s="89"/>
      <c r="B393" s="90"/>
      <c r="C393" s="87" t="str">
        <f t="shared" ca="1" si="6"/>
        <v/>
      </c>
      <c r="D393" s="43"/>
    </row>
    <row r="394" spans="1:4">
      <c r="A394" s="89"/>
      <c r="B394" s="90"/>
      <c r="C394" s="87" t="str">
        <f t="shared" ca="1" si="6"/>
        <v/>
      </c>
      <c r="D394" s="43"/>
    </row>
    <row r="395" spans="1:4">
      <c r="A395" s="89"/>
      <c r="B395" s="90"/>
      <c r="C395" s="87" t="str">
        <f t="shared" ca="1" si="6"/>
        <v/>
      </c>
      <c r="D395" s="43"/>
    </row>
    <row r="396" spans="1:4">
      <c r="A396" s="89"/>
      <c r="B396" s="90"/>
      <c r="C396" s="87" t="str">
        <f t="shared" ca="1" si="6"/>
        <v/>
      </c>
      <c r="D396" s="43"/>
    </row>
    <row r="397" spans="1:4">
      <c r="A397" s="89"/>
      <c r="B397" s="90"/>
      <c r="C397" s="87" t="str">
        <f t="shared" ca="1" si="6"/>
        <v/>
      </c>
      <c r="D397" s="43"/>
    </row>
    <row r="398" spans="1:4">
      <c r="A398" s="89"/>
      <c r="B398" s="90"/>
      <c r="C398" s="87" t="str">
        <f t="shared" ca="1" si="6"/>
        <v/>
      </c>
      <c r="D398" s="43"/>
    </row>
    <row r="399" spans="1:4">
      <c r="A399" s="89"/>
      <c r="B399" s="90"/>
      <c r="C399" s="87" t="str">
        <f t="shared" ca="1" si="6"/>
        <v/>
      </c>
      <c r="D399" s="43"/>
    </row>
    <row r="400" spans="1:4">
      <c r="A400" s="89"/>
      <c r="B400" s="90"/>
      <c r="C400" s="87" t="str">
        <f t="shared" ca="1" si="6"/>
        <v/>
      </c>
      <c r="D400" s="43"/>
    </row>
    <row r="401" spans="1:4">
      <c r="A401" s="89"/>
      <c r="B401" s="90"/>
      <c r="C401" s="87" t="str">
        <f t="shared" ca="1" si="6"/>
        <v/>
      </c>
      <c r="D401" s="43"/>
    </row>
    <row r="402" spans="1:4">
      <c r="A402" s="89"/>
      <c r="B402" s="90"/>
      <c r="C402" s="87" t="str">
        <f t="shared" ca="1" si="6"/>
        <v/>
      </c>
      <c r="D402" s="43"/>
    </row>
    <row r="403" spans="1:4">
      <c r="A403" s="89"/>
      <c r="B403" s="90"/>
      <c r="C403" s="87" t="str">
        <f t="shared" ca="1" si="6"/>
        <v/>
      </c>
      <c r="D403" s="43"/>
    </row>
    <row r="404" spans="1:4">
      <c r="A404" s="89"/>
      <c r="B404" s="90"/>
      <c r="C404" s="87" t="str">
        <f t="shared" ca="1" si="6"/>
        <v/>
      </c>
      <c r="D404" s="43"/>
    </row>
    <row r="405" spans="1:4">
      <c r="A405" s="89"/>
      <c r="B405" s="90"/>
      <c r="C405" s="87" t="str">
        <f t="shared" ca="1" si="6"/>
        <v/>
      </c>
      <c r="D405" s="43"/>
    </row>
    <row r="406" spans="1:4">
      <c r="A406" s="89"/>
      <c r="B406" s="90"/>
      <c r="C406" s="87" t="str">
        <f t="shared" ca="1" si="6"/>
        <v/>
      </c>
      <c r="D406" s="43"/>
    </row>
    <row r="407" spans="1:4">
      <c r="A407" s="89"/>
      <c r="B407" s="90"/>
      <c r="C407" s="87" t="str">
        <f t="shared" ca="1" si="6"/>
        <v/>
      </c>
      <c r="D407" s="43"/>
    </row>
    <row r="408" spans="1:4">
      <c r="A408" s="89"/>
      <c r="B408" s="90"/>
      <c r="C408" s="87" t="str">
        <f t="shared" ca="1" si="6"/>
        <v/>
      </c>
      <c r="D408" s="43"/>
    </row>
    <row r="409" spans="1:4">
      <c r="A409" s="89"/>
      <c r="B409" s="90"/>
      <c r="C409" s="87" t="str">
        <f t="shared" ca="1" si="6"/>
        <v/>
      </c>
      <c r="D409" s="43"/>
    </row>
    <row r="410" spans="1:4">
      <c r="A410" s="89"/>
      <c r="B410" s="90"/>
      <c r="C410" s="87" t="str">
        <f t="shared" ca="1" si="6"/>
        <v/>
      </c>
      <c r="D410" s="43"/>
    </row>
    <row r="411" spans="1:4">
      <c r="A411" s="89"/>
      <c r="B411" s="90"/>
      <c r="C411" s="87" t="str">
        <f t="shared" ca="1" si="6"/>
        <v/>
      </c>
      <c r="D411" s="43"/>
    </row>
    <row r="412" spans="1:4">
      <c r="A412" s="89"/>
      <c r="B412" s="90"/>
      <c r="C412" s="87" t="str">
        <f t="shared" ca="1" si="6"/>
        <v/>
      </c>
      <c r="D412" s="43"/>
    </row>
    <row r="413" spans="1:4">
      <c r="A413" s="89"/>
      <c r="B413" s="90"/>
      <c r="C413" s="87" t="str">
        <f t="shared" ca="1" si="6"/>
        <v/>
      </c>
      <c r="D413" s="43"/>
    </row>
    <row r="414" spans="1:4">
      <c r="A414" s="89"/>
      <c r="B414" s="90"/>
      <c r="C414" s="87" t="str">
        <f t="shared" ca="1" si="6"/>
        <v/>
      </c>
      <c r="D414" s="43"/>
    </row>
    <row r="415" spans="1:4">
      <c r="A415" s="89"/>
      <c r="B415" s="90"/>
      <c r="C415" s="87" t="str">
        <f t="shared" ca="1" si="6"/>
        <v/>
      </c>
      <c r="D415" s="43"/>
    </row>
    <row r="416" spans="1:4">
      <c r="A416" s="89"/>
      <c r="B416" s="90"/>
      <c r="C416" s="87" t="str">
        <f t="shared" ca="1" si="6"/>
        <v/>
      </c>
      <c r="D416" s="43"/>
    </row>
    <row r="417" spans="1:4">
      <c r="A417" s="89"/>
      <c r="B417" s="90"/>
      <c r="C417" s="87" t="str">
        <f t="shared" ca="1" si="6"/>
        <v/>
      </c>
      <c r="D417" s="43"/>
    </row>
    <row r="418" spans="1:4">
      <c r="A418" s="89"/>
      <c r="B418" s="90"/>
      <c r="C418" s="87" t="str">
        <f t="shared" ca="1" si="6"/>
        <v/>
      </c>
      <c r="D418" s="43"/>
    </row>
    <row r="419" spans="1:4">
      <c r="A419" s="89"/>
      <c r="B419" s="90"/>
      <c r="C419" s="87" t="str">
        <f t="shared" ca="1" si="6"/>
        <v/>
      </c>
      <c r="D419" s="43"/>
    </row>
    <row r="420" spans="1:4">
      <c r="A420" s="89"/>
      <c r="B420" s="90"/>
      <c r="C420" s="87" t="str">
        <f t="shared" ca="1" si="6"/>
        <v/>
      </c>
      <c r="D420" s="43"/>
    </row>
    <row r="421" spans="1:4">
      <c r="A421" s="89"/>
      <c r="B421" s="90"/>
      <c r="C421" s="87" t="str">
        <f t="shared" ca="1" si="6"/>
        <v/>
      </c>
      <c r="D421" s="43"/>
    </row>
    <row r="422" spans="1:4">
      <c r="A422" s="89"/>
      <c r="B422" s="90"/>
      <c r="C422" s="87" t="str">
        <f t="shared" ca="1" si="6"/>
        <v/>
      </c>
      <c r="D422" s="43"/>
    </row>
    <row r="423" spans="1:4">
      <c r="A423" s="89"/>
      <c r="B423" s="90"/>
      <c r="C423" s="87" t="str">
        <f t="shared" ca="1" si="6"/>
        <v/>
      </c>
      <c r="D423" s="43"/>
    </row>
    <row r="424" spans="1:4">
      <c r="A424" s="89"/>
      <c r="B424" s="90"/>
      <c r="C424" s="87" t="str">
        <f t="shared" ca="1" si="6"/>
        <v/>
      </c>
      <c r="D424" s="43"/>
    </row>
    <row r="425" spans="1:4">
      <c r="A425" s="89"/>
      <c r="B425" s="90"/>
      <c r="C425" s="87" t="str">
        <f t="shared" ca="1" si="6"/>
        <v/>
      </c>
      <c r="D425" s="43"/>
    </row>
    <row r="426" spans="1:4">
      <c r="A426" s="89"/>
      <c r="B426" s="90"/>
      <c r="C426" s="87" t="str">
        <f t="shared" ca="1" si="6"/>
        <v/>
      </c>
      <c r="D426" s="43"/>
    </row>
    <row r="427" spans="1:4">
      <c r="A427" s="89"/>
      <c r="B427" s="90"/>
      <c r="C427" s="87" t="str">
        <f t="shared" ca="1" si="6"/>
        <v/>
      </c>
      <c r="D427" s="43"/>
    </row>
    <row r="428" spans="1:4">
      <c r="A428" s="89"/>
      <c r="B428" s="90"/>
      <c r="C428" s="87" t="str">
        <f t="shared" ca="1" si="6"/>
        <v/>
      </c>
      <c r="D428" s="43"/>
    </row>
    <row r="429" spans="1:4">
      <c r="A429" s="89"/>
      <c r="B429" s="90"/>
      <c r="C429" s="87" t="str">
        <f t="shared" ca="1" si="6"/>
        <v/>
      </c>
      <c r="D429" s="43"/>
    </row>
    <row r="430" spans="1:4">
      <c r="A430" s="89"/>
      <c r="B430" s="90"/>
      <c r="C430" s="87" t="str">
        <f t="shared" ca="1" si="6"/>
        <v/>
      </c>
      <c r="D430" s="43"/>
    </row>
    <row r="431" spans="1:4">
      <c r="A431" s="89"/>
      <c r="B431" s="90"/>
      <c r="C431" s="87" t="str">
        <f t="shared" ca="1" si="6"/>
        <v/>
      </c>
      <c r="D431" s="43"/>
    </row>
    <row r="432" spans="1:4">
      <c r="A432" s="89"/>
      <c r="B432" s="90"/>
      <c r="C432" s="87" t="str">
        <f t="shared" ca="1" si="6"/>
        <v/>
      </c>
      <c r="D432" s="43"/>
    </row>
    <row r="433" spans="1:4">
      <c r="A433" s="89"/>
      <c r="B433" s="90"/>
      <c r="C433" s="87" t="str">
        <f t="shared" ca="1" si="6"/>
        <v/>
      </c>
      <c r="D433" s="43"/>
    </row>
    <row r="434" spans="1:4">
      <c r="A434" s="89"/>
      <c r="B434" s="90"/>
      <c r="C434" s="87" t="str">
        <f t="shared" ca="1" si="6"/>
        <v/>
      </c>
      <c r="D434" s="43"/>
    </row>
    <row r="435" spans="1:4">
      <c r="A435" s="89"/>
      <c r="B435" s="90"/>
      <c r="C435" s="87" t="str">
        <f t="shared" ca="1" si="6"/>
        <v/>
      </c>
      <c r="D435" s="43"/>
    </row>
    <row r="436" spans="1:4">
      <c r="A436" s="89"/>
      <c r="B436" s="90"/>
      <c r="C436" s="87" t="str">
        <f t="shared" ca="1" si="6"/>
        <v/>
      </c>
      <c r="D436" s="43"/>
    </row>
    <row r="437" spans="1:4">
      <c r="A437" s="89"/>
      <c r="B437" s="90"/>
      <c r="C437" s="87" t="str">
        <f t="shared" ca="1" si="6"/>
        <v/>
      </c>
      <c r="D437" s="43"/>
    </row>
    <row r="438" spans="1:4">
      <c r="A438" s="89"/>
      <c r="B438" s="90"/>
      <c r="C438" s="87" t="str">
        <f t="shared" ca="1" si="6"/>
        <v/>
      </c>
      <c r="D438" s="43"/>
    </row>
    <row r="439" spans="1:4">
      <c r="A439" s="89"/>
      <c r="B439" s="90"/>
      <c r="C439" s="87" t="str">
        <f t="shared" ca="1" si="6"/>
        <v/>
      </c>
      <c r="D439" s="43"/>
    </row>
    <row r="440" spans="1:4">
      <c r="A440" s="89"/>
      <c r="B440" s="90"/>
      <c r="C440" s="87" t="str">
        <f t="shared" ca="1" si="6"/>
        <v/>
      </c>
      <c r="D440" s="43"/>
    </row>
    <row r="441" spans="1:4">
      <c r="A441" s="89"/>
      <c r="B441" s="90"/>
      <c r="C441" s="87" t="str">
        <f t="shared" ca="1" si="6"/>
        <v/>
      </c>
      <c r="D441" s="43"/>
    </row>
    <row r="442" spans="1:4">
      <c r="A442" s="89"/>
      <c r="B442" s="90"/>
      <c r="C442" s="87" t="str">
        <f t="shared" ca="1" si="6"/>
        <v/>
      </c>
      <c r="D442" s="43"/>
    </row>
    <row r="443" spans="1:4">
      <c r="A443" s="89"/>
      <c r="B443" s="90"/>
      <c r="C443" s="87" t="str">
        <f t="shared" ca="1" si="6"/>
        <v/>
      </c>
      <c r="D443" s="43"/>
    </row>
    <row r="444" spans="1:4">
      <c r="A444" s="89"/>
      <c r="B444" s="90"/>
      <c r="C444" s="87" t="str">
        <f t="shared" ca="1" si="6"/>
        <v/>
      </c>
      <c r="D444" s="43"/>
    </row>
    <row r="445" spans="1:4">
      <c r="A445" s="89"/>
      <c r="B445" s="90"/>
      <c r="C445" s="87" t="str">
        <f t="shared" ca="1" si="6"/>
        <v/>
      </c>
      <c r="D445" s="43"/>
    </row>
    <row r="446" spans="1:4">
      <c r="A446" s="89"/>
      <c r="B446" s="90"/>
      <c r="C446" s="87" t="str">
        <f t="shared" ca="1" si="6"/>
        <v/>
      </c>
      <c r="D446" s="43"/>
    </row>
    <row r="447" spans="1:4">
      <c r="A447" s="89"/>
      <c r="B447" s="90"/>
      <c r="C447" s="87" t="str">
        <f t="shared" ca="1" si="6"/>
        <v/>
      </c>
      <c r="D447" s="43"/>
    </row>
    <row r="448" spans="1:4">
      <c r="A448" s="89"/>
      <c r="B448" s="90"/>
      <c r="C448" s="87" t="str">
        <f t="shared" ca="1" si="6"/>
        <v/>
      </c>
      <c r="D448" s="43"/>
    </row>
    <row r="449" spans="1:4">
      <c r="A449" s="89"/>
      <c r="B449" s="90"/>
      <c r="C449" s="87" t="str">
        <f t="shared" ca="1" si="6"/>
        <v/>
      </c>
      <c r="D449" s="43"/>
    </row>
    <row r="450" spans="1:4">
      <c r="A450" s="89"/>
      <c r="B450" s="90"/>
      <c r="C450" s="87" t="str">
        <f t="shared" ca="1" si="6"/>
        <v/>
      </c>
      <c r="D450" s="43"/>
    </row>
    <row r="451" spans="1:4">
      <c r="A451" s="89"/>
      <c r="B451" s="90"/>
      <c r="C451" s="87" t="str">
        <f t="shared" ref="C451:C500" ca="1" si="7">IF(A451&lt;&gt;"", IF(C451="", NOW(), C451), "")</f>
        <v/>
      </c>
      <c r="D451" s="43"/>
    </row>
    <row r="452" spans="1:4">
      <c r="A452" s="89"/>
      <c r="B452" s="90"/>
      <c r="C452" s="87" t="str">
        <f t="shared" ca="1" si="7"/>
        <v/>
      </c>
      <c r="D452" s="43"/>
    </row>
    <row r="453" spans="1:4">
      <c r="A453" s="89"/>
      <c r="B453" s="90"/>
      <c r="C453" s="87" t="str">
        <f t="shared" ca="1" si="7"/>
        <v/>
      </c>
      <c r="D453" s="43"/>
    </row>
    <row r="454" spans="1:4">
      <c r="A454" s="89"/>
      <c r="B454" s="90"/>
      <c r="C454" s="87" t="str">
        <f t="shared" ca="1" si="7"/>
        <v/>
      </c>
      <c r="D454" s="43"/>
    </row>
    <row r="455" spans="1:4">
      <c r="A455" s="89"/>
      <c r="B455" s="90"/>
      <c r="C455" s="87" t="str">
        <f t="shared" ca="1" si="7"/>
        <v/>
      </c>
      <c r="D455" s="43"/>
    </row>
    <row r="456" spans="1:4">
      <c r="A456" s="89"/>
      <c r="B456" s="90"/>
      <c r="C456" s="87" t="str">
        <f t="shared" ca="1" si="7"/>
        <v/>
      </c>
      <c r="D456" s="43"/>
    </row>
    <row r="457" spans="1:4">
      <c r="A457" s="89"/>
      <c r="B457" s="90"/>
      <c r="C457" s="87" t="str">
        <f t="shared" ca="1" si="7"/>
        <v/>
      </c>
      <c r="D457" s="43"/>
    </row>
    <row r="458" spans="1:4">
      <c r="A458" s="89"/>
      <c r="B458" s="90"/>
      <c r="C458" s="87" t="str">
        <f t="shared" ca="1" si="7"/>
        <v/>
      </c>
      <c r="D458" s="43"/>
    </row>
    <row r="459" spans="1:4">
      <c r="A459" s="89"/>
      <c r="B459" s="90"/>
      <c r="C459" s="87" t="str">
        <f t="shared" ca="1" si="7"/>
        <v/>
      </c>
      <c r="D459" s="43"/>
    </row>
    <row r="460" spans="1:4">
      <c r="A460" s="89"/>
      <c r="B460" s="90"/>
      <c r="C460" s="87" t="str">
        <f t="shared" ca="1" si="7"/>
        <v/>
      </c>
      <c r="D460" s="43"/>
    </row>
    <row r="461" spans="1:4">
      <c r="A461" s="89"/>
      <c r="B461" s="90"/>
      <c r="C461" s="87" t="str">
        <f t="shared" ca="1" si="7"/>
        <v/>
      </c>
      <c r="D461" s="43"/>
    </row>
    <row r="462" spans="1:4">
      <c r="A462" s="89"/>
      <c r="B462" s="90"/>
      <c r="C462" s="87" t="str">
        <f t="shared" ca="1" si="7"/>
        <v/>
      </c>
      <c r="D462" s="43"/>
    </row>
    <row r="463" spans="1:4">
      <c r="A463" s="89"/>
      <c r="B463" s="90"/>
      <c r="C463" s="87" t="str">
        <f t="shared" ca="1" si="7"/>
        <v/>
      </c>
      <c r="D463" s="43"/>
    </row>
    <row r="464" spans="1:4">
      <c r="A464" s="89"/>
      <c r="B464" s="90"/>
      <c r="C464" s="87" t="str">
        <f t="shared" ca="1" si="7"/>
        <v/>
      </c>
      <c r="D464" s="43"/>
    </row>
    <row r="465" spans="1:4">
      <c r="A465" s="89"/>
      <c r="B465" s="90"/>
      <c r="C465" s="87" t="str">
        <f t="shared" ca="1" si="7"/>
        <v/>
      </c>
      <c r="D465" s="43"/>
    </row>
    <row r="466" spans="1:4">
      <c r="A466" s="89"/>
      <c r="B466" s="90"/>
      <c r="C466" s="87" t="str">
        <f t="shared" ca="1" si="7"/>
        <v/>
      </c>
      <c r="D466" s="43"/>
    </row>
    <row r="467" spans="1:4">
      <c r="A467" s="89"/>
      <c r="B467" s="90"/>
      <c r="C467" s="87" t="str">
        <f t="shared" ca="1" si="7"/>
        <v/>
      </c>
      <c r="D467" s="43"/>
    </row>
    <row r="468" spans="1:4">
      <c r="A468" s="89"/>
      <c r="B468" s="90"/>
      <c r="C468" s="87" t="str">
        <f t="shared" ca="1" si="7"/>
        <v/>
      </c>
      <c r="D468" s="43"/>
    </row>
    <row r="469" spans="1:4">
      <c r="A469" s="89"/>
      <c r="B469" s="90"/>
      <c r="C469" s="87" t="str">
        <f t="shared" ca="1" si="7"/>
        <v/>
      </c>
      <c r="D469" s="43"/>
    </row>
    <row r="470" spans="1:4">
      <c r="A470" s="89"/>
      <c r="B470" s="90"/>
      <c r="C470" s="87" t="str">
        <f t="shared" ca="1" si="7"/>
        <v/>
      </c>
      <c r="D470" s="43"/>
    </row>
    <row r="471" spans="1:4">
      <c r="A471" s="89"/>
      <c r="B471" s="90"/>
      <c r="C471" s="87" t="str">
        <f t="shared" ca="1" si="7"/>
        <v/>
      </c>
      <c r="D471" s="43"/>
    </row>
    <row r="472" spans="1:4">
      <c r="A472" s="89"/>
      <c r="B472" s="90"/>
      <c r="C472" s="87" t="str">
        <f t="shared" ca="1" si="7"/>
        <v/>
      </c>
      <c r="D472" s="43"/>
    </row>
    <row r="473" spans="1:4">
      <c r="A473" s="89"/>
      <c r="B473" s="90"/>
      <c r="C473" s="87" t="str">
        <f t="shared" ca="1" si="7"/>
        <v/>
      </c>
      <c r="D473" s="43"/>
    </row>
    <row r="474" spans="1:4">
      <c r="A474" s="89"/>
      <c r="B474" s="90"/>
      <c r="C474" s="87" t="str">
        <f t="shared" ca="1" si="7"/>
        <v/>
      </c>
      <c r="D474" s="43"/>
    </row>
    <row r="475" spans="1:4">
      <c r="A475" s="89"/>
      <c r="B475" s="90"/>
      <c r="C475" s="87" t="str">
        <f t="shared" ca="1" si="7"/>
        <v/>
      </c>
      <c r="D475" s="43"/>
    </row>
    <row r="476" spans="1:4">
      <c r="A476" s="89"/>
      <c r="B476" s="90"/>
      <c r="C476" s="87" t="str">
        <f t="shared" ca="1" si="7"/>
        <v/>
      </c>
      <c r="D476" s="43"/>
    </row>
    <row r="477" spans="1:4">
      <c r="A477" s="89"/>
      <c r="B477" s="90"/>
      <c r="C477" s="87" t="str">
        <f t="shared" ca="1" si="7"/>
        <v/>
      </c>
      <c r="D477" s="43"/>
    </row>
    <row r="478" spans="1:4">
      <c r="A478" s="89"/>
      <c r="B478" s="90"/>
      <c r="C478" s="87" t="str">
        <f t="shared" ca="1" si="7"/>
        <v/>
      </c>
      <c r="D478" s="43"/>
    </row>
    <row r="479" spans="1:4">
      <c r="A479" s="89"/>
      <c r="B479" s="90"/>
      <c r="C479" s="87" t="str">
        <f t="shared" ca="1" si="7"/>
        <v/>
      </c>
      <c r="D479" s="43"/>
    </row>
    <row r="480" spans="1:4">
      <c r="A480" s="89"/>
      <c r="B480" s="90"/>
      <c r="C480" s="87" t="str">
        <f t="shared" ca="1" si="7"/>
        <v/>
      </c>
      <c r="D480" s="43"/>
    </row>
    <row r="481" spans="1:4">
      <c r="A481" s="89"/>
      <c r="B481" s="90"/>
      <c r="C481" s="87" t="str">
        <f t="shared" ca="1" si="7"/>
        <v/>
      </c>
      <c r="D481" s="43"/>
    </row>
    <row r="482" spans="1:4">
      <c r="A482" s="89"/>
      <c r="B482" s="90"/>
      <c r="C482" s="87" t="str">
        <f t="shared" ca="1" si="7"/>
        <v/>
      </c>
      <c r="D482" s="43"/>
    </row>
    <row r="483" spans="1:4">
      <c r="A483" s="89"/>
      <c r="B483" s="90"/>
      <c r="C483" s="87" t="str">
        <f t="shared" ca="1" si="7"/>
        <v/>
      </c>
      <c r="D483" s="43"/>
    </row>
    <row r="484" spans="1:4">
      <c r="A484" s="89"/>
      <c r="B484" s="90"/>
      <c r="C484" s="87" t="str">
        <f t="shared" ca="1" si="7"/>
        <v/>
      </c>
      <c r="D484" s="43"/>
    </row>
    <row r="485" spans="1:4">
      <c r="A485" s="89"/>
      <c r="B485" s="90"/>
      <c r="C485" s="87" t="str">
        <f t="shared" ca="1" si="7"/>
        <v/>
      </c>
      <c r="D485" s="43"/>
    </row>
    <row r="486" spans="1:4">
      <c r="A486" s="89"/>
      <c r="B486" s="90"/>
      <c r="C486" s="87" t="str">
        <f t="shared" ca="1" si="7"/>
        <v/>
      </c>
      <c r="D486" s="43"/>
    </row>
    <row r="487" spans="1:4">
      <c r="A487" s="89"/>
      <c r="B487" s="90"/>
      <c r="C487" s="87" t="str">
        <f t="shared" ca="1" si="7"/>
        <v/>
      </c>
      <c r="D487" s="43"/>
    </row>
    <row r="488" spans="1:4">
      <c r="A488" s="89"/>
      <c r="B488" s="90"/>
      <c r="C488" s="87" t="str">
        <f t="shared" ca="1" si="7"/>
        <v/>
      </c>
      <c r="D488" s="43"/>
    </row>
    <row r="489" spans="1:4">
      <c r="A489" s="89"/>
      <c r="B489" s="90"/>
      <c r="C489" s="87" t="str">
        <f t="shared" ca="1" si="7"/>
        <v/>
      </c>
      <c r="D489" s="43"/>
    </row>
    <row r="490" spans="1:4">
      <c r="A490" s="89"/>
      <c r="B490" s="90"/>
      <c r="C490" s="87" t="str">
        <f t="shared" ca="1" si="7"/>
        <v/>
      </c>
      <c r="D490" s="43"/>
    </row>
    <row r="491" spans="1:4">
      <c r="A491" s="89"/>
      <c r="B491" s="90"/>
      <c r="C491" s="87" t="str">
        <f t="shared" ca="1" si="7"/>
        <v/>
      </c>
      <c r="D491" s="43"/>
    </row>
    <row r="492" spans="1:4">
      <c r="A492" s="89"/>
      <c r="B492" s="90"/>
      <c r="C492" s="87" t="str">
        <f t="shared" ca="1" si="7"/>
        <v/>
      </c>
      <c r="D492" s="43"/>
    </row>
    <row r="493" spans="1:4">
      <c r="A493" s="89"/>
      <c r="B493" s="90"/>
      <c r="C493" s="87" t="str">
        <f t="shared" ca="1" si="7"/>
        <v/>
      </c>
      <c r="D493" s="43"/>
    </row>
    <row r="494" spans="1:4">
      <c r="A494" s="89"/>
      <c r="B494" s="90"/>
      <c r="C494" s="87" t="str">
        <f t="shared" ca="1" si="7"/>
        <v/>
      </c>
      <c r="D494" s="43"/>
    </row>
    <row r="495" spans="1:4">
      <c r="A495" s="89"/>
      <c r="B495" s="90"/>
      <c r="C495" s="87" t="str">
        <f t="shared" ca="1" si="7"/>
        <v/>
      </c>
      <c r="D495" s="43"/>
    </row>
    <row r="496" spans="1:4">
      <c r="A496" s="89"/>
      <c r="B496" s="90"/>
      <c r="C496" s="87" t="str">
        <f t="shared" ca="1" si="7"/>
        <v/>
      </c>
      <c r="D496" s="43"/>
    </row>
    <row r="497" spans="1:4">
      <c r="A497" s="89"/>
      <c r="B497" s="90"/>
      <c r="C497" s="87" t="str">
        <f t="shared" ca="1" si="7"/>
        <v/>
      </c>
      <c r="D497" s="43"/>
    </row>
    <row r="498" spans="1:4">
      <c r="A498" s="89"/>
      <c r="B498" s="90"/>
      <c r="C498" s="87" t="str">
        <f t="shared" ca="1" si="7"/>
        <v/>
      </c>
      <c r="D498" s="43"/>
    </row>
    <row r="499" spans="1:4">
      <c r="A499" s="89"/>
      <c r="B499" s="90"/>
      <c r="C499" s="87" t="str">
        <f t="shared" ca="1" si="7"/>
        <v/>
      </c>
      <c r="D499" s="43"/>
    </row>
    <row r="500" spans="1:4" ht="15.75" thickBot="1">
      <c r="A500" s="91"/>
      <c r="B500" s="92"/>
      <c r="C500" s="87" t="str">
        <f t="shared" ca="1" si="7"/>
        <v/>
      </c>
      <c r="D500" s="4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247"/>
  <sheetViews>
    <sheetView workbookViewId="0">
      <selection activeCell="H3" sqref="H3"/>
    </sheetView>
  </sheetViews>
  <sheetFormatPr defaultRowHeight="15"/>
  <cols>
    <col min="1" max="1" width="43.5703125" style="76" customWidth="1"/>
    <col min="2" max="2" width="11.28515625" style="72" customWidth="1"/>
    <col min="3" max="3" width="16.140625" style="77" bestFit="1" customWidth="1"/>
    <col min="4" max="4" width="21.5703125" style="60" bestFit="1" customWidth="1"/>
    <col min="5" max="5" width="10.42578125" style="60" hidden="1" customWidth="1"/>
    <col min="6" max="6" width="0" style="60" hidden="1" customWidth="1"/>
    <col min="7" max="7" width="4.28515625" style="60" hidden="1" customWidth="1"/>
    <col min="8" max="8" width="11.42578125" style="60" customWidth="1"/>
    <col min="9" max="9" width="41.28515625" style="60" customWidth="1"/>
    <col min="10" max="10" width="63.140625" style="60" customWidth="1"/>
    <col min="11" max="11" width="36.5703125" style="60" customWidth="1"/>
    <col min="12" max="12" width="28" style="60" customWidth="1"/>
    <col min="13" max="13" width="21.5703125" style="60" customWidth="1"/>
    <col min="14" max="14" width="10.42578125" style="60" bestFit="1" customWidth="1"/>
    <col min="15" max="16384" width="9.140625" style="60"/>
  </cols>
  <sheetData>
    <row r="1" spans="1:41" ht="31.5">
      <c r="A1" s="93" t="s">
        <v>46</v>
      </c>
      <c r="B1" s="94" t="s">
        <v>66</v>
      </c>
      <c r="C1" s="95" t="s">
        <v>67</v>
      </c>
      <c r="D1" s="78"/>
      <c r="E1" s="79"/>
      <c r="F1" s="79"/>
      <c r="G1" s="80"/>
      <c r="H1" s="81"/>
      <c r="I1" s="82"/>
      <c r="J1" s="83"/>
      <c r="K1" s="83"/>
      <c r="L1" s="83"/>
      <c r="M1" s="83"/>
      <c r="N1" s="83"/>
    </row>
    <row r="2" spans="1:41" s="63" customFormat="1" ht="23.25">
      <c r="A2" s="73"/>
      <c r="B2" s="15"/>
      <c r="C2" s="74" t="str">
        <f ca="1">IF(B2&lt;&gt;"", IF(C2="", NOW(), C2), "")</f>
        <v/>
      </c>
      <c r="D2" s="50"/>
      <c r="E2" s="51"/>
      <c r="F2" s="52"/>
      <c r="G2" s="52"/>
      <c r="H2" s="53"/>
      <c r="I2" s="53"/>
      <c r="J2" s="61"/>
      <c r="K2" s="62"/>
      <c r="M2" s="57"/>
      <c r="N2" s="57"/>
      <c r="O2" s="57"/>
      <c r="P2" s="5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8"/>
      <c r="AG2" s="68"/>
      <c r="AH2" s="68"/>
      <c r="AI2" s="68"/>
      <c r="AJ2" s="68"/>
      <c r="AK2" s="68"/>
      <c r="AL2" s="68"/>
      <c r="AM2" s="68"/>
      <c r="AN2" s="68"/>
      <c r="AO2" s="68"/>
    </row>
    <row r="3" spans="1:41" s="65" customFormat="1" ht="41.25" customHeight="1">
      <c r="A3" s="73"/>
      <c r="B3" s="15"/>
      <c r="C3" s="74" t="str">
        <f t="shared" ref="C3:C66" ca="1" si="0">IF(B3&lt;&gt;"", IF(C3="", NOW(), C3), "")</f>
        <v/>
      </c>
      <c r="D3" s="50"/>
      <c r="E3" s="55"/>
      <c r="F3" s="52"/>
      <c r="G3" s="52"/>
      <c r="H3" s="53"/>
      <c r="I3" s="56"/>
      <c r="J3" s="62"/>
      <c r="K3" s="57"/>
      <c r="L3" s="57"/>
      <c r="M3" s="57"/>
      <c r="N3" s="57"/>
    </row>
    <row r="4" spans="1:41" s="59" customFormat="1" ht="46.5" customHeight="1">
      <c r="A4" s="73"/>
      <c r="B4" s="15"/>
      <c r="C4" s="74" t="str">
        <f t="shared" ca="1" si="0"/>
        <v/>
      </c>
      <c r="D4" s="55"/>
      <c r="E4" s="50"/>
      <c r="F4" s="55"/>
      <c r="G4" s="52"/>
      <c r="H4" s="53"/>
      <c r="I4" s="53"/>
      <c r="J4" s="62"/>
      <c r="K4" s="57"/>
      <c r="L4" s="57"/>
      <c r="M4" s="57"/>
      <c r="N4" s="57"/>
      <c r="O4" s="57"/>
    </row>
    <row r="5" spans="1:41" s="59" customFormat="1" ht="22.5" customHeight="1">
      <c r="A5" s="73"/>
      <c r="B5" s="21"/>
      <c r="C5" s="74" t="str">
        <f t="shared" ca="1" si="0"/>
        <v/>
      </c>
      <c r="D5" s="66"/>
      <c r="E5" s="50"/>
      <c r="F5" s="58"/>
      <c r="G5" s="52"/>
      <c r="H5" s="53"/>
      <c r="J5" s="57"/>
      <c r="K5" s="56"/>
      <c r="M5" s="57"/>
      <c r="N5" s="57"/>
      <c r="O5" s="57"/>
    </row>
    <row r="6" spans="1:41" s="59" customFormat="1" ht="41.25" customHeight="1">
      <c r="A6" s="73"/>
      <c r="B6" s="21"/>
      <c r="C6" s="74" t="str">
        <f t="shared" ca="1" si="0"/>
        <v/>
      </c>
      <c r="D6" s="55"/>
      <c r="E6" s="49"/>
      <c r="F6" s="50"/>
      <c r="G6" s="58"/>
      <c r="H6" s="53"/>
      <c r="I6" s="52"/>
      <c r="J6" s="62"/>
      <c r="K6" s="62"/>
      <c r="L6" s="56"/>
      <c r="O6" s="57"/>
    </row>
    <row r="7" spans="1:41" s="59" customFormat="1" ht="11.25">
      <c r="A7" s="73"/>
      <c r="B7" s="21"/>
      <c r="C7" s="74" t="str">
        <f t="shared" ca="1" si="0"/>
        <v/>
      </c>
      <c r="D7" s="55"/>
      <c r="E7" s="50"/>
      <c r="F7" s="55"/>
      <c r="G7" s="52"/>
      <c r="H7" s="53"/>
      <c r="I7" s="53"/>
      <c r="J7" s="57"/>
      <c r="K7" s="57"/>
      <c r="L7" s="57"/>
      <c r="M7" s="57"/>
      <c r="N7" s="57"/>
      <c r="O7" s="57"/>
    </row>
    <row r="8" spans="1:41" s="59" customFormat="1" ht="11.25">
      <c r="A8" s="73"/>
      <c r="B8" s="21"/>
      <c r="C8" s="74" t="str">
        <f t="shared" ca="1" si="0"/>
        <v/>
      </c>
      <c r="D8" s="55"/>
      <c r="E8" s="50"/>
      <c r="F8" s="55"/>
      <c r="G8" s="52"/>
      <c r="H8" s="53"/>
      <c r="I8" s="53"/>
      <c r="J8" s="57"/>
      <c r="K8" s="57"/>
      <c r="L8" s="57"/>
      <c r="M8" s="57"/>
      <c r="N8" s="57"/>
      <c r="O8" s="57"/>
    </row>
    <row r="9" spans="1:41" s="59" customFormat="1" ht="11.25">
      <c r="A9" s="73"/>
      <c r="B9" s="16"/>
      <c r="C9" s="74" t="str">
        <f t="shared" ca="1" si="0"/>
        <v/>
      </c>
      <c r="D9" s="50"/>
      <c r="E9" s="50"/>
      <c r="F9" s="55"/>
      <c r="G9" s="52"/>
      <c r="H9" s="52"/>
      <c r="I9" s="53"/>
      <c r="J9" s="56"/>
      <c r="K9" s="57"/>
      <c r="L9" s="57"/>
      <c r="M9" s="57"/>
      <c r="N9" s="57"/>
      <c r="O9" s="5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</row>
    <row r="10" spans="1:41" s="65" customFormat="1" ht="11.25">
      <c r="A10" s="73"/>
      <c r="B10" s="15"/>
      <c r="C10" s="74" t="str">
        <f t="shared" ca="1" si="0"/>
        <v/>
      </c>
      <c r="D10" s="55"/>
      <c r="E10" s="50"/>
      <c r="F10" s="55"/>
      <c r="G10" s="52"/>
      <c r="H10" s="52"/>
      <c r="I10" s="53"/>
      <c r="J10" s="56"/>
      <c r="K10" s="57"/>
      <c r="L10" s="57"/>
      <c r="M10" s="57"/>
      <c r="N10" s="57"/>
      <c r="O10" s="57"/>
    </row>
    <row r="11" spans="1:41" s="59" customFormat="1" ht="41.25" customHeight="1">
      <c r="A11" s="73"/>
      <c r="B11" s="16"/>
      <c r="C11" s="74" t="str">
        <f t="shared" ca="1" si="0"/>
        <v/>
      </c>
      <c r="D11" s="50"/>
      <c r="E11" s="50"/>
      <c r="F11" s="55"/>
      <c r="G11" s="52"/>
      <c r="H11" s="52"/>
      <c r="I11" s="53"/>
      <c r="J11" s="57"/>
      <c r="K11" s="57"/>
      <c r="L11" s="57"/>
      <c r="M11" s="57"/>
      <c r="N11" s="57"/>
      <c r="O11" s="57"/>
    </row>
    <row r="12" spans="1:41" s="63" customFormat="1" ht="41.25" customHeight="1">
      <c r="A12" s="73"/>
      <c r="B12" s="16"/>
      <c r="C12" s="74" t="str">
        <f t="shared" ca="1" si="0"/>
        <v/>
      </c>
      <c r="D12" s="50"/>
      <c r="E12" s="50"/>
      <c r="F12" s="58"/>
      <c r="G12" s="52"/>
      <c r="H12" s="52"/>
      <c r="I12" s="53"/>
      <c r="J12" s="57"/>
      <c r="K12" s="57"/>
      <c r="L12" s="57"/>
      <c r="M12" s="57"/>
      <c r="N12" s="57"/>
      <c r="O12" s="57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</row>
    <row r="13" spans="1:41" s="63" customFormat="1" ht="41.25" customHeight="1">
      <c r="A13" s="73"/>
      <c r="B13" s="16"/>
      <c r="C13" s="74" t="str">
        <f t="shared" ca="1" si="0"/>
        <v/>
      </c>
      <c r="D13" s="50"/>
      <c r="E13" s="50"/>
      <c r="F13" s="58"/>
      <c r="G13" s="52"/>
      <c r="H13" s="52"/>
      <c r="I13" s="53"/>
      <c r="J13" s="57"/>
      <c r="K13" s="57"/>
      <c r="L13" s="57"/>
      <c r="M13" s="57"/>
      <c r="N13" s="57"/>
      <c r="O13" s="57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</row>
    <row r="14" spans="1:41" s="63" customFormat="1" ht="23.25">
      <c r="A14" s="73"/>
      <c r="B14" s="16"/>
      <c r="C14" s="74" t="str">
        <f t="shared" ca="1" si="0"/>
        <v/>
      </c>
      <c r="D14" s="50"/>
      <c r="E14" s="50"/>
      <c r="F14" s="58"/>
      <c r="G14" s="52"/>
      <c r="H14" s="52"/>
      <c r="I14" s="53"/>
      <c r="J14" s="56"/>
      <c r="K14" s="57"/>
      <c r="L14" s="57"/>
      <c r="M14" s="57"/>
      <c r="N14" s="57"/>
      <c r="O14" s="57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8"/>
      <c r="AK14" s="68"/>
      <c r="AL14" s="68"/>
      <c r="AM14" s="68"/>
      <c r="AN14" s="68"/>
      <c r="AO14" s="68"/>
    </row>
    <row r="15" spans="1:41" ht="23.25">
      <c r="A15" s="73"/>
      <c r="B15" s="16"/>
      <c r="C15" s="74" t="str">
        <f t="shared" ca="1" si="0"/>
        <v/>
      </c>
      <c r="D15" s="50"/>
      <c r="E15" s="50"/>
      <c r="F15" s="58"/>
      <c r="G15" s="52"/>
      <c r="H15" s="52"/>
      <c r="I15" s="53"/>
      <c r="J15" s="56"/>
      <c r="K15" s="57"/>
      <c r="L15" s="57"/>
      <c r="M15" s="57"/>
      <c r="N15" s="57"/>
      <c r="O15" s="57"/>
    </row>
    <row r="16" spans="1:41" s="63" customFormat="1" ht="23.25">
      <c r="A16" s="73"/>
      <c r="B16" s="16"/>
      <c r="C16" s="74" t="str">
        <f t="shared" ca="1" si="0"/>
        <v/>
      </c>
      <c r="D16" s="50"/>
      <c r="E16" s="50"/>
      <c r="F16" s="58"/>
      <c r="G16" s="52"/>
      <c r="H16" s="52"/>
      <c r="I16" s="53"/>
      <c r="J16" s="56"/>
      <c r="K16" s="57"/>
      <c r="L16" s="57"/>
      <c r="M16" s="57"/>
      <c r="N16" s="57"/>
      <c r="O16" s="57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</row>
    <row r="17" spans="1:41" s="63" customFormat="1" ht="14.25">
      <c r="A17" s="75"/>
      <c r="B17" s="26"/>
      <c r="C17" s="74" t="str">
        <f t="shared" ca="1" si="0"/>
        <v/>
      </c>
      <c r="D17" s="70"/>
      <c r="E17" s="69"/>
      <c r="F17" s="69"/>
      <c r="G17" s="69"/>
      <c r="H17" s="69"/>
      <c r="I17" s="53"/>
      <c r="J17" s="56"/>
      <c r="K17" s="57"/>
      <c r="L17" s="57"/>
      <c r="M17" s="57"/>
      <c r="N17" s="57"/>
      <c r="O17" s="57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</row>
    <row r="18" spans="1:41" s="63" customFormat="1" ht="14.25">
      <c r="A18" s="75"/>
      <c r="B18" s="26"/>
      <c r="C18" s="74" t="str">
        <f t="shared" ca="1" si="0"/>
        <v/>
      </c>
      <c r="D18" s="70"/>
      <c r="E18" s="69"/>
      <c r="F18" s="69"/>
      <c r="G18" s="69"/>
      <c r="H18" s="69"/>
      <c r="I18" s="53"/>
      <c r="J18" s="56"/>
      <c r="K18" s="57"/>
      <c r="L18" s="57"/>
      <c r="M18" s="57"/>
      <c r="N18" s="57"/>
      <c r="O18" s="57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</row>
    <row r="19" spans="1:41" s="63" customFormat="1" ht="14.25">
      <c r="A19" s="75"/>
      <c r="B19" s="26"/>
      <c r="C19" s="74" t="str">
        <f t="shared" ca="1" si="0"/>
        <v/>
      </c>
      <c r="D19" s="70"/>
      <c r="E19" s="69"/>
      <c r="F19" s="69"/>
      <c r="G19" s="69"/>
      <c r="H19" s="69"/>
      <c r="I19" s="53"/>
      <c r="J19" s="56"/>
      <c r="K19" s="71"/>
      <c r="L19" s="57"/>
      <c r="M19" s="57"/>
      <c r="N19" s="57"/>
      <c r="O19" s="57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</row>
    <row r="20" spans="1:41">
      <c r="A20" s="75"/>
      <c r="B20" s="26"/>
      <c r="C20" s="74" t="str">
        <f t="shared" ca="1" si="0"/>
        <v/>
      </c>
      <c r="D20" s="70"/>
      <c r="E20" s="69"/>
      <c r="F20" s="69"/>
      <c r="G20" s="69"/>
      <c r="H20" s="69"/>
      <c r="I20" s="53"/>
      <c r="J20" s="56"/>
    </row>
    <row r="21" spans="1:41">
      <c r="A21" s="75"/>
      <c r="B21" s="26"/>
      <c r="C21" s="74" t="str">
        <f t="shared" ca="1" si="0"/>
        <v/>
      </c>
      <c r="D21" s="70"/>
      <c r="E21" s="69"/>
      <c r="F21" s="69"/>
      <c r="G21" s="69"/>
      <c r="H21" s="69"/>
      <c r="I21" s="53"/>
      <c r="J21" s="56"/>
    </row>
    <row r="22" spans="1:41" s="63" customFormat="1" ht="14.25">
      <c r="A22" s="75"/>
      <c r="B22" s="26"/>
      <c r="C22" s="74" t="str">
        <f t="shared" ca="1" si="0"/>
        <v/>
      </c>
      <c r="D22" s="70"/>
      <c r="E22" s="69"/>
      <c r="F22" s="69"/>
      <c r="G22" s="69"/>
      <c r="H22" s="69"/>
      <c r="I22" s="53"/>
      <c r="J22" s="56"/>
      <c r="K22" s="57"/>
      <c r="L22" s="57"/>
      <c r="M22" s="57"/>
      <c r="N22" s="57"/>
      <c r="O22" s="57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</row>
    <row r="23" spans="1:41" s="63" customFormat="1" ht="14.25">
      <c r="A23" s="75"/>
      <c r="B23" s="26"/>
      <c r="C23" s="74" t="str">
        <f t="shared" ca="1" si="0"/>
        <v/>
      </c>
      <c r="D23" s="70"/>
      <c r="E23" s="69"/>
      <c r="F23" s="69"/>
      <c r="G23" s="69"/>
      <c r="H23" s="69"/>
      <c r="I23" s="53"/>
      <c r="J23" s="57"/>
      <c r="K23" s="57"/>
      <c r="L23" s="57"/>
      <c r="M23" s="57"/>
      <c r="N23" s="57"/>
      <c r="O23" s="57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  <c r="AK23" s="68"/>
      <c r="AL23" s="68"/>
      <c r="AM23" s="68"/>
      <c r="AN23" s="68"/>
      <c r="AO23" s="68"/>
    </row>
    <row r="24" spans="1:41" s="63" customFormat="1" ht="23.25">
      <c r="A24" s="73"/>
      <c r="B24" s="16"/>
      <c r="C24" s="74" t="str">
        <f t="shared" ca="1" si="0"/>
        <v/>
      </c>
      <c r="D24" s="50"/>
      <c r="E24" s="50"/>
      <c r="F24" s="58"/>
      <c r="G24" s="52"/>
      <c r="H24" s="52"/>
      <c r="I24" s="53"/>
      <c r="J24" s="57"/>
      <c r="K24" s="57"/>
      <c r="L24" s="57"/>
      <c r="M24" s="57"/>
      <c r="N24" s="57"/>
      <c r="O24" s="57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68"/>
      <c r="AO24" s="68"/>
    </row>
    <row r="25" spans="1:41" s="63" customFormat="1" ht="23.25">
      <c r="A25" s="73"/>
      <c r="B25" s="16"/>
      <c r="C25" s="74" t="str">
        <f t="shared" ca="1" si="0"/>
        <v/>
      </c>
      <c r="D25" s="50"/>
      <c r="E25" s="50"/>
      <c r="F25" s="58"/>
      <c r="G25" s="52"/>
      <c r="H25" s="52"/>
      <c r="I25" s="53"/>
      <c r="J25" s="56"/>
      <c r="K25" s="57"/>
      <c r="L25" s="57"/>
      <c r="M25" s="57"/>
      <c r="N25" s="57"/>
      <c r="O25" s="57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  <c r="AJ25" s="68"/>
      <c r="AK25" s="68"/>
      <c r="AL25" s="68"/>
      <c r="AM25" s="68"/>
      <c r="AN25" s="68"/>
      <c r="AO25" s="68"/>
    </row>
    <row r="26" spans="1:41" s="63" customFormat="1" ht="23.25">
      <c r="A26" s="73"/>
      <c r="B26" s="16"/>
      <c r="C26" s="74" t="str">
        <f t="shared" ca="1" si="0"/>
        <v/>
      </c>
      <c r="D26" s="50"/>
      <c r="E26" s="50"/>
      <c r="F26" s="58"/>
      <c r="G26" s="52"/>
      <c r="H26" s="52"/>
      <c r="I26" s="53"/>
      <c r="J26" s="56"/>
      <c r="K26" s="57"/>
      <c r="L26" s="57"/>
      <c r="M26" s="57"/>
      <c r="N26" s="57"/>
      <c r="O26" s="57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  <c r="AJ26" s="68"/>
      <c r="AK26" s="68"/>
      <c r="AL26" s="68"/>
      <c r="AM26" s="68"/>
      <c r="AN26" s="68"/>
      <c r="AO26" s="68"/>
    </row>
    <row r="27" spans="1:41" s="63" customFormat="1" ht="35.25" customHeight="1">
      <c r="A27" s="75"/>
      <c r="B27" s="15"/>
      <c r="C27" s="74" t="str">
        <f t="shared" ca="1" si="0"/>
        <v/>
      </c>
      <c r="D27" s="50"/>
      <c r="E27" s="58"/>
      <c r="F27" s="52"/>
      <c r="G27" s="52"/>
      <c r="H27" s="53"/>
      <c r="I27" s="56"/>
      <c r="J27" s="56"/>
      <c r="K27" s="56"/>
      <c r="L27" s="57"/>
      <c r="M27" s="57"/>
      <c r="N27" s="57"/>
      <c r="O27" s="54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68"/>
      <c r="AN27" s="68"/>
    </row>
    <row r="28" spans="1:41" s="63" customFormat="1" ht="23.25">
      <c r="A28" s="73"/>
      <c r="B28" s="15"/>
      <c r="C28" s="74" t="str">
        <f t="shared" ca="1" si="0"/>
        <v/>
      </c>
      <c r="D28" s="50"/>
      <c r="E28" s="58"/>
      <c r="F28" s="52"/>
      <c r="G28" s="52"/>
      <c r="H28" s="53"/>
      <c r="I28" s="56"/>
      <c r="J28" s="62"/>
      <c r="K28" s="62"/>
      <c r="L28" s="57"/>
      <c r="M28" s="57"/>
      <c r="N28" s="57"/>
      <c r="O28" s="5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8"/>
      <c r="AF28" s="68"/>
      <c r="AG28" s="68"/>
      <c r="AH28" s="68"/>
      <c r="AI28" s="68"/>
      <c r="AJ28" s="68"/>
      <c r="AK28" s="68"/>
      <c r="AL28" s="68"/>
      <c r="AM28" s="68"/>
      <c r="AN28" s="68"/>
    </row>
    <row r="29" spans="1:41" s="63" customFormat="1" ht="23.25">
      <c r="A29" s="73"/>
      <c r="B29" s="15"/>
      <c r="C29" s="74" t="str">
        <f t="shared" ca="1" si="0"/>
        <v/>
      </c>
      <c r="D29" s="50"/>
      <c r="E29" s="58"/>
      <c r="F29" s="52"/>
      <c r="G29" s="52"/>
      <c r="H29" s="53"/>
      <c r="I29" s="56"/>
      <c r="J29" s="57"/>
      <c r="K29" s="57"/>
      <c r="L29" s="57"/>
      <c r="M29" s="57"/>
      <c r="N29" s="57"/>
      <c r="O29" s="54"/>
      <c r="P29" s="64"/>
      <c r="Q29" s="64"/>
      <c r="R29" s="64"/>
      <c r="S29" s="64"/>
      <c r="T29" s="64"/>
      <c r="U29" s="64"/>
      <c r="V29" s="64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8"/>
      <c r="AL29" s="68"/>
      <c r="AM29" s="68"/>
      <c r="AN29" s="68"/>
    </row>
    <row r="30" spans="1:41">
      <c r="C30" s="74" t="str">
        <f t="shared" ca="1" si="0"/>
        <v/>
      </c>
    </row>
    <row r="31" spans="1:41">
      <c r="C31" s="74" t="str">
        <f t="shared" ca="1" si="0"/>
        <v/>
      </c>
    </row>
    <row r="32" spans="1:41">
      <c r="C32" s="74" t="str">
        <f t="shared" ca="1" si="0"/>
        <v/>
      </c>
    </row>
    <row r="33" spans="3:3">
      <c r="C33" s="74" t="str">
        <f t="shared" ca="1" si="0"/>
        <v/>
      </c>
    </row>
    <row r="34" spans="3:3">
      <c r="C34" s="74" t="str">
        <f t="shared" ca="1" si="0"/>
        <v/>
      </c>
    </row>
    <row r="35" spans="3:3">
      <c r="C35" s="74" t="str">
        <f t="shared" ca="1" si="0"/>
        <v/>
      </c>
    </row>
    <row r="36" spans="3:3">
      <c r="C36" s="74" t="str">
        <f t="shared" ca="1" si="0"/>
        <v/>
      </c>
    </row>
    <row r="37" spans="3:3">
      <c r="C37" s="74" t="str">
        <f t="shared" ca="1" si="0"/>
        <v/>
      </c>
    </row>
    <row r="38" spans="3:3">
      <c r="C38" s="74" t="str">
        <f t="shared" ca="1" si="0"/>
        <v/>
      </c>
    </row>
    <row r="39" spans="3:3">
      <c r="C39" s="74" t="str">
        <f t="shared" ca="1" si="0"/>
        <v/>
      </c>
    </row>
    <row r="40" spans="3:3">
      <c r="C40" s="74" t="str">
        <f t="shared" ca="1" si="0"/>
        <v/>
      </c>
    </row>
    <row r="41" spans="3:3">
      <c r="C41" s="74" t="str">
        <f t="shared" ca="1" si="0"/>
        <v/>
      </c>
    </row>
    <row r="42" spans="3:3">
      <c r="C42" s="74" t="str">
        <f t="shared" ca="1" si="0"/>
        <v/>
      </c>
    </row>
    <row r="43" spans="3:3">
      <c r="C43" s="74" t="str">
        <f t="shared" ca="1" si="0"/>
        <v/>
      </c>
    </row>
    <row r="44" spans="3:3">
      <c r="C44" s="74" t="str">
        <f t="shared" ca="1" si="0"/>
        <v/>
      </c>
    </row>
    <row r="45" spans="3:3">
      <c r="C45" s="74" t="str">
        <f t="shared" ca="1" si="0"/>
        <v/>
      </c>
    </row>
    <row r="46" spans="3:3">
      <c r="C46" s="74" t="str">
        <f t="shared" ca="1" si="0"/>
        <v/>
      </c>
    </row>
    <row r="47" spans="3:3">
      <c r="C47" s="74" t="str">
        <f t="shared" ca="1" si="0"/>
        <v/>
      </c>
    </row>
    <row r="48" spans="3:3">
      <c r="C48" s="74" t="str">
        <f t="shared" ca="1" si="0"/>
        <v/>
      </c>
    </row>
    <row r="49" spans="3:3">
      <c r="C49" s="74" t="str">
        <f t="shared" ca="1" si="0"/>
        <v/>
      </c>
    </row>
    <row r="50" spans="3:3">
      <c r="C50" s="74" t="str">
        <f t="shared" ca="1" si="0"/>
        <v/>
      </c>
    </row>
    <row r="51" spans="3:3">
      <c r="C51" s="74" t="str">
        <f t="shared" ca="1" si="0"/>
        <v/>
      </c>
    </row>
    <row r="52" spans="3:3">
      <c r="C52" s="74" t="str">
        <f t="shared" ca="1" si="0"/>
        <v/>
      </c>
    </row>
    <row r="53" spans="3:3">
      <c r="C53" s="74" t="str">
        <f t="shared" ca="1" si="0"/>
        <v/>
      </c>
    </row>
    <row r="54" spans="3:3">
      <c r="C54" s="74" t="str">
        <f t="shared" ca="1" si="0"/>
        <v/>
      </c>
    </row>
    <row r="55" spans="3:3">
      <c r="C55" s="74" t="str">
        <f t="shared" ca="1" si="0"/>
        <v/>
      </c>
    </row>
    <row r="56" spans="3:3">
      <c r="C56" s="74" t="str">
        <f t="shared" ca="1" si="0"/>
        <v/>
      </c>
    </row>
    <row r="57" spans="3:3">
      <c r="C57" s="74" t="str">
        <f t="shared" ca="1" si="0"/>
        <v/>
      </c>
    </row>
    <row r="58" spans="3:3">
      <c r="C58" s="74" t="str">
        <f t="shared" ca="1" si="0"/>
        <v/>
      </c>
    </row>
    <row r="59" spans="3:3">
      <c r="C59" s="74" t="str">
        <f t="shared" ca="1" si="0"/>
        <v/>
      </c>
    </row>
    <row r="60" spans="3:3">
      <c r="C60" s="74" t="str">
        <f t="shared" ca="1" si="0"/>
        <v/>
      </c>
    </row>
    <row r="61" spans="3:3">
      <c r="C61" s="74" t="str">
        <f t="shared" ca="1" si="0"/>
        <v/>
      </c>
    </row>
    <row r="62" spans="3:3">
      <c r="C62" s="74" t="str">
        <f t="shared" ca="1" si="0"/>
        <v/>
      </c>
    </row>
    <row r="63" spans="3:3">
      <c r="C63" s="74" t="str">
        <f t="shared" ca="1" si="0"/>
        <v/>
      </c>
    </row>
    <row r="64" spans="3:3">
      <c r="C64" s="74" t="str">
        <f t="shared" ca="1" si="0"/>
        <v/>
      </c>
    </row>
    <row r="65" spans="3:3">
      <c r="C65" s="74" t="str">
        <f t="shared" ca="1" si="0"/>
        <v/>
      </c>
    </row>
    <row r="66" spans="3:3">
      <c r="C66" s="74" t="str">
        <f t="shared" ca="1" si="0"/>
        <v/>
      </c>
    </row>
    <row r="67" spans="3:3">
      <c r="C67" s="74" t="str">
        <f t="shared" ref="C67:C130" ca="1" si="1">IF(B67&lt;&gt;"", IF(C67="", NOW(), C67), "")</f>
        <v/>
      </c>
    </row>
    <row r="68" spans="3:3">
      <c r="C68" s="74" t="str">
        <f t="shared" ca="1" si="1"/>
        <v/>
      </c>
    </row>
    <row r="69" spans="3:3">
      <c r="C69" s="74" t="str">
        <f t="shared" ca="1" si="1"/>
        <v/>
      </c>
    </row>
    <row r="70" spans="3:3">
      <c r="C70" s="74" t="str">
        <f t="shared" ca="1" si="1"/>
        <v/>
      </c>
    </row>
    <row r="71" spans="3:3">
      <c r="C71" s="74" t="str">
        <f t="shared" ca="1" si="1"/>
        <v/>
      </c>
    </row>
    <row r="72" spans="3:3">
      <c r="C72" s="74" t="str">
        <f t="shared" ca="1" si="1"/>
        <v/>
      </c>
    </row>
    <row r="73" spans="3:3">
      <c r="C73" s="74" t="str">
        <f t="shared" ca="1" si="1"/>
        <v/>
      </c>
    </row>
    <row r="74" spans="3:3">
      <c r="C74" s="74" t="str">
        <f t="shared" ca="1" si="1"/>
        <v/>
      </c>
    </row>
    <row r="75" spans="3:3">
      <c r="C75" s="74" t="str">
        <f t="shared" ca="1" si="1"/>
        <v/>
      </c>
    </row>
    <row r="76" spans="3:3">
      <c r="C76" s="74" t="str">
        <f t="shared" ca="1" si="1"/>
        <v/>
      </c>
    </row>
    <row r="77" spans="3:3">
      <c r="C77" s="74" t="str">
        <f t="shared" ca="1" si="1"/>
        <v/>
      </c>
    </row>
    <row r="78" spans="3:3">
      <c r="C78" s="74" t="str">
        <f t="shared" ca="1" si="1"/>
        <v/>
      </c>
    </row>
    <row r="79" spans="3:3">
      <c r="C79" s="74" t="str">
        <f t="shared" ca="1" si="1"/>
        <v/>
      </c>
    </row>
    <row r="80" spans="3:3">
      <c r="C80" s="74" t="str">
        <f t="shared" ca="1" si="1"/>
        <v/>
      </c>
    </row>
    <row r="81" spans="3:3">
      <c r="C81" s="74" t="str">
        <f t="shared" ca="1" si="1"/>
        <v/>
      </c>
    </row>
    <row r="82" spans="3:3">
      <c r="C82" s="74" t="str">
        <f t="shared" ca="1" si="1"/>
        <v/>
      </c>
    </row>
    <row r="83" spans="3:3">
      <c r="C83" s="74" t="str">
        <f t="shared" ca="1" si="1"/>
        <v/>
      </c>
    </row>
    <row r="84" spans="3:3">
      <c r="C84" s="74" t="str">
        <f t="shared" ca="1" si="1"/>
        <v/>
      </c>
    </row>
    <row r="85" spans="3:3">
      <c r="C85" s="74" t="str">
        <f t="shared" ca="1" si="1"/>
        <v/>
      </c>
    </row>
    <row r="86" spans="3:3">
      <c r="C86" s="74" t="str">
        <f t="shared" ca="1" si="1"/>
        <v/>
      </c>
    </row>
    <row r="87" spans="3:3">
      <c r="C87" s="74" t="str">
        <f t="shared" ca="1" si="1"/>
        <v/>
      </c>
    </row>
    <row r="88" spans="3:3">
      <c r="C88" s="74" t="str">
        <f t="shared" ca="1" si="1"/>
        <v/>
      </c>
    </row>
    <row r="89" spans="3:3">
      <c r="C89" s="74" t="str">
        <f t="shared" ca="1" si="1"/>
        <v/>
      </c>
    </row>
    <row r="90" spans="3:3">
      <c r="C90" s="74" t="str">
        <f t="shared" ca="1" si="1"/>
        <v/>
      </c>
    </row>
    <row r="91" spans="3:3">
      <c r="C91" s="74" t="str">
        <f t="shared" ca="1" si="1"/>
        <v/>
      </c>
    </row>
    <row r="92" spans="3:3">
      <c r="C92" s="74" t="str">
        <f t="shared" ca="1" si="1"/>
        <v/>
      </c>
    </row>
    <row r="93" spans="3:3">
      <c r="C93" s="74" t="str">
        <f t="shared" ca="1" si="1"/>
        <v/>
      </c>
    </row>
    <row r="94" spans="3:3">
      <c r="C94" s="74" t="str">
        <f t="shared" ca="1" si="1"/>
        <v/>
      </c>
    </row>
    <row r="95" spans="3:3">
      <c r="C95" s="74" t="str">
        <f t="shared" ca="1" si="1"/>
        <v/>
      </c>
    </row>
    <row r="96" spans="3:3">
      <c r="C96" s="74" t="str">
        <f t="shared" ca="1" si="1"/>
        <v/>
      </c>
    </row>
    <row r="97" spans="3:3">
      <c r="C97" s="74" t="str">
        <f t="shared" ca="1" si="1"/>
        <v/>
      </c>
    </row>
    <row r="98" spans="3:3">
      <c r="C98" s="74" t="str">
        <f t="shared" ca="1" si="1"/>
        <v/>
      </c>
    </row>
    <row r="99" spans="3:3">
      <c r="C99" s="74" t="str">
        <f t="shared" ca="1" si="1"/>
        <v/>
      </c>
    </row>
    <row r="100" spans="3:3">
      <c r="C100" s="74" t="str">
        <f t="shared" ca="1" si="1"/>
        <v/>
      </c>
    </row>
    <row r="101" spans="3:3">
      <c r="C101" s="74" t="str">
        <f t="shared" ca="1" si="1"/>
        <v/>
      </c>
    </row>
    <row r="102" spans="3:3">
      <c r="C102" s="74" t="str">
        <f t="shared" ca="1" si="1"/>
        <v/>
      </c>
    </row>
    <row r="103" spans="3:3">
      <c r="C103" s="74" t="str">
        <f t="shared" ca="1" si="1"/>
        <v/>
      </c>
    </row>
    <row r="104" spans="3:3">
      <c r="C104" s="74" t="str">
        <f t="shared" ca="1" si="1"/>
        <v/>
      </c>
    </row>
    <row r="105" spans="3:3">
      <c r="C105" s="74" t="str">
        <f t="shared" ca="1" si="1"/>
        <v/>
      </c>
    </row>
    <row r="106" spans="3:3">
      <c r="C106" s="74" t="str">
        <f t="shared" ca="1" si="1"/>
        <v/>
      </c>
    </row>
    <row r="107" spans="3:3">
      <c r="C107" s="74" t="str">
        <f t="shared" ca="1" si="1"/>
        <v/>
      </c>
    </row>
    <row r="108" spans="3:3">
      <c r="C108" s="74" t="str">
        <f t="shared" ca="1" si="1"/>
        <v/>
      </c>
    </row>
    <row r="109" spans="3:3">
      <c r="C109" s="74" t="str">
        <f t="shared" ca="1" si="1"/>
        <v/>
      </c>
    </row>
    <row r="110" spans="3:3">
      <c r="C110" s="74" t="str">
        <f t="shared" ca="1" si="1"/>
        <v/>
      </c>
    </row>
    <row r="111" spans="3:3">
      <c r="C111" s="74" t="str">
        <f t="shared" ca="1" si="1"/>
        <v/>
      </c>
    </row>
    <row r="112" spans="3:3">
      <c r="C112" s="74" t="str">
        <f t="shared" ca="1" si="1"/>
        <v/>
      </c>
    </row>
    <row r="113" spans="3:3">
      <c r="C113" s="74" t="str">
        <f t="shared" ca="1" si="1"/>
        <v/>
      </c>
    </row>
    <row r="114" spans="3:3">
      <c r="C114" s="74" t="str">
        <f t="shared" ca="1" si="1"/>
        <v/>
      </c>
    </row>
    <row r="115" spans="3:3">
      <c r="C115" s="74" t="str">
        <f t="shared" ca="1" si="1"/>
        <v/>
      </c>
    </row>
    <row r="116" spans="3:3">
      <c r="C116" s="74" t="str">
        <f t="shared" ca="1" si="1"/>
        <v/>
      </c>
    </row>
    <row r="117" spans="3:3">
      <c r="C117" s="74" t="str">
        <f t="shared" ca="1" si="1"/>
        <v/>
      </c>
    </row>
    <row r="118" spans="3:3">
      <c r="C118" s="74" t="str">
        <f t="shared" ca="1" si="1"/>
        <v/>
      </c>
    </row>
    <row r="119" spans="3:3">
      <c r="C119" s="74" t="str">
        <f t="shared" ca="1" si="1"/>
        <v/>
      </c>
    </row>
    <row r="120" spans="3:3">
      <c r="C120" s="74" t="str">
        <f t="shared" ca="1" si="1"/>
        <v/>
      </c>
    </row>
    <row r="121" spans="3:3">
      <c r="C121" s="74" t="str">
        <f t="shared" ca="1" si="1"/>
        <v/>
      </c>
    </row>
    <row r="122" spans="3:3">
      <c r="C122" s="74" t="str">
        <f t="shared" ca="1" si="1"/>
        <v/>
      </c>
    </row>
    <row r="123" spans="3:3">
      <c r="C123" s="74" t="str">
        <f t="shared" ca="1" si="1"/>
        <v/>
      </c>
    </row>
    <row r="124" spans="3:3">
      <c r="C124" s="74" t="str">
        <f t="shared" ca="1" si="1"/>
        <v/>
      </c>
    </row>
    <row r="125" spans="3:3">
      <c r="C125" s="74" t="str">
        <f t="shared" ca="1" si="1"/>
        <v/>
      </c>
    </row>
    <row r="126" spans="3:3">
      <c r="C126" s="74" t="str">
        <f t="shared" ca="1" si="1"/>
        <v/>
      </c>
    </row>
    <row r="127" spans="3:3">
      <c r="C127" s="74" t="str">
        <f t="shared" ca="1" si="1"/>
        <v/>
      </c>
    </row>
    <row r="128" spans="3:3">
      <c r="C128" s="74" t="str">
        <f t="shared" ca="1" si="1"/>
        <v/>
      </c>
    </row>
    <row r="129" spans="3:3">
      <c r="C129" s="74" t="str">
        <f t="shared" ca="1" si="1"/>
        <v/>
      </c>
    </row>
    <row r="130" spans="3:3">
      <c r="C130" s="74" t="str">
        <f t="shared" ca="1" si="1"/>
        <v/>
      </c>
    </row>
    <row r="131" spans="3:3">
      <c r="C131" s="74" t="str">
        <f t="shared" ref="C131:C194" ca="1" si="2">IF(B131&lt;&gt;"", IF(C131="", NOW(), C131), "")</f>
        <v/>
      </c>
    </row>
    <row r="132" spans="3:3">
      <c r="C132" s="74" t="str">
        <f t="shared" ca="1" si="2"/>
        <v/>
      </c>
    </row>
    <row r="133" spans="3:3">
      <c r="C133" s="74" t="str">
        <f t="shared" ca="1" si="2"/>
        <v/>
      </c>
    </row>
    <row r="134" spans="3:3">
      <c r="C134" s="74" t="str">
        <f t="shared" ca="1" si="2"/>
        <v/>
      </c>
    </row>
    <row r="135" spans="3:3">
      <c r="C135" s="74" t="str">
        <f t="shared" ca="1" si="2"/>
        <v/>
      </c>
    </row>
    <row r="136" spans="3:3">
      <c r="C136" s="74" t="str">
        <f t="shared" ca="1" si="2"/>
        <v/>
      </c>
    </row>
    <row r="137" spans="3:3">
      <c r="C137" s="74" t="str">
        <f t="shared" ca="1" si="2"/>
        <v/>
      </c>
    </row>
    <row r="138" spans="3:3">
      <c r="C138" s="74" t="str">
        <f t="shared" ca="1" si="2"/>
        <v/>
      </c>
    </row>
    <row r="139" spans="3:3">
      <c r="C139" s="74" t="str">
        <f t="shared" ca="1" si="2"/>
        <v/>
      </c>
    </row>
    <row r="140" spans="3:3">
      <c r="C140" s="74" t="str">
        <f t="shared" ca="1" si="2"/>
        <v/>
      </c>
    </row>
    <row r="141" spans="3:3">
      <c r="C141" s="74" t="str">
        <f t="shared" ca="1" si="2"/>
        <v/>
      </c>
    </row>
    <row r="142" spans="3:3">
      <c r="C142" s="74" t="str">
        <f t="shared" ca="1" si="2"/>
        <v/>
      </c>
    </row>
    <row r="143" spans="3:3">
      <c r="C143" s="74" t="str">
        <f t="shared" ca="1" si="2"/>
        <v/>
      </c>
    </row>
    <row r="144" spans="3:3">
      <c r="C144" s="74" t="str">
        <f t="shared" ca="1" si="2"/>
        <v/>
      </c>
    </row>
    <row r="145" spans="3:3">
      <c r="C145" s="74" t="str">
        <f t="shared" ca="1" si="2"/>
        <v/>
      </c>
    </row>
    <row r="146" spans="3:3">
      <c r="C146" s="74" t="str">
        <f t="shared" ca="1" si="2"/>
        <v/>
      </c>
    </row>
    <row r="147" spans="3:3">
      <c r="C147" s="74" t="str">
        <f t="shared" ca="1" si="2"/>
        <v/>
      </c>
    </row>
    <row r="148" spans="3:3">
      <c r="C148" s="74" t="str">
        <f t="shared" ca="1" si="2"/>
        <v/>
      </c>
    </row>
    <row r="149" spans="3:3">
      <c r="C149" s="74" t="str">
        <f t="shared" ca="1" si="2"/>
        <v/>
      </c>
    </row>
    <row r="150" spans="3:3">
      <c r="C150" s="74" t="str">
        <f t="shared" ca="1" si="2"/>
        <v/>
      </c>
    </row>
    <row r="151" spans="3:3">
      <c r="C151" s="74" t="str">
        <f t="shared" ca="1" si="2"/>
        <v/>
      </c>
    </row>
    <row r="152" spans="3:3">
      <c r="C152" s="74" t="str">
        <f t="shared" ca="1" si="2"/>
        <v/>
      </c>
    </row>
    <row r="153" spans="3:3">
      <c r="C153" s="74" t="str">
        <f t="shared" ca="1" si="2"/>
        <v/>
      </c>
    </row>
    <row r="154" spans="3:3">
      <c r="C154" s="74" t="str">
        <f t="shared" ca="1" si="2"/>
        <v/>
      </c>
    </row>
    <row r="155" spans="3:3">
      <c r="C155" s="74" t="str">
        <f t="shared" ca="1" si="2"/>
        <v/>
      </c>
    </row>
    <row r="156" spans="3:3">
      <c r="C156" s="74" t="str">
        <f t="shared" ca="1" si="2"/>
        <v/>
      </c>
    </row>
    <row r="157" spans="3:3">
      <c r="C157" s="74" t="str">
        <f t="shared" ca="1" si="2"/>
        <v/>
      </c>
    </row>
    <row r="158" spans="3:3">
      <c r="C158" s="74" t="str">
        <f t="shared" ca="1" si="2"/>
        <v/>
      </c>
    </row>
    <row r="159" spans="3:3">
      <c r="C159" s="74" t="str">
        <f t="shared" ca="1" si="2"/>
        <v/>
      </c>
    </row>
    <row r="160" spans="3:3">
      <c r="C160" s="74" t="str">
        <f t="shared" ca="1" si="2"/>
        <v/>
      </c>
    </row>
    <row r="161" spans="3:3">
      <c r="C161" s="74" t="str">
        <f t="shared" ca="1" si="2"/>
        <v/>
      </c>
    </row>
    <row r="162" spans="3:3">
      <c r="C162" s="74" t="str">
        <f t="shared" ca="1" si="2"/>
        <v/>
      </c>
    </row>
    <row r="163" spans="3:3">
      <c r="C163" s="74" t="str">
        <f t="shared" ca="1" si="2"/>
        <v/>
      </c>
    </row>
    <row r="164" spans="3:3">
      <c r="C164" s="74" t="str">
        <f t="shared" ca="1" si="2"/>
        <v/>
      </c>
    </row>
    <row r="165" spans="3:3">
      <c r="C165" s="74" t="str">
        <f t="shared" ca="1" si="2"/>
        <v/>
      </c>
    </row>
    <row r="166" spans="3:3">
      <c r="C166" s="74" t="str">
        <f t="shared" ca="1" si="2"/>
        <v/>
      </c>
    </row>
    <row r="167" spans="3:3">
      <c r="C167" s="74" t="str">
        <f t="shared" ca="1" si="2"/>
        <v/>
      </c>
    </row>
    <row r="168" spans="3:3">
      <c r="C168" s="74" t="str">
        <f t="shared" ca="1" si="2"/>
        <v/>
      </c>
    </row>
    <row r="169" spans="3:3">
      <c r="C169" s="74" t="str">
        <f t="shared" ca="1" si="2"/>
        <v/>
      </c>
    </row>
    <row r="170" spans="3:3">
      <c r="C170" s="74" t="str">
        <f t="shared" ca="1" si="2"/>
        <v/>
      </c>
    </row>
    <row r="171" spans="3:3">
      <c r="C171" s="74" t="str">
        <f t="shared" ca="1" si="2"/>
        <v/>
      </c>
    </row>
    <row r="172" spans="3:3">
      <c r="C172" s="74" t="str">
        <f t="shared" ca="1" si="2"/>
        <v/>
      </c>
    </row>
    <row r="173" spans="3:3">
      <c r="C173" s="74" t="str">
        <f t="shared" ca="1" si="2"/>
        <v/>
      </c>
    </row>
    <row r="174" spans="3:3">
      <c r="C174" s="74" t="str">
        <f t="shared" ca="1" si="2"/>
        <v/>
      </c>
    </row>
    <row r="175" spans="3:3">
      <c r="C175" s="74" t="str">
        <f t="shared" ca="1" si="2"/>
        <v/>
      </c>
    </row>
    <row r="176" spans="3:3">
      <c r="C176" s="74" t="str">
        <f t="shared" ca="1" si="2"/>
        <v/>
      </c>
    </row>
    <row r="177" spans="3:3">
      <c r="C177" s="74" t="str">
        <f t="shared" ca="1" si="2"/>
        <v/>
      </c>
    </row>
    <row r="178" spans="3:3">
      <c r="C178" s="74" t="str">
        <f t="shared" ca="1" si="2"/>
        <v/>
      </c>
    </row>
    <row r="179" spans="3:3">
      <c r="C179" s="74" t="str">
        <f t="shared" ca="1" si="2"/>
        <v/>
      </c>
    </row>
    <row r="180" spans="3:3">
      <c r="C180" s="74" t="str">
        <f t="shared" ca="1" si="2"/>
        <v/>
      </c>
    </row>
    <row r="181" spans="3:3">
      <c r="C181" s="74" t="str">
        <f t="shared" ca="1" si="2"/>
        <v/>
      </c>
    </row>
    <row r="182" spans="3:3">
      <c r="C182" s="74" t="str">
        <f t="shared" ca="1" si="2"/>
        <v/>
      </c>
    </row>
    <row r="183" spans="3:3">
      <c r="C183" s="74" t="str">
        <f t="shared" ca="1" si="2"/>
        <v/>
      </c>
    </row>
    <row r="184" spans="3:3">
      <c r="C184" s="74" t="str">
        <f t="shared" ca="1" si="2"/>
        <v/>
      </c>
    </row>
    <row r="185" spans="3:3">
      <c r="C185" s="74" t="str">
        <f t="shared" ca="1" si="2"/>
        <v/>
      </c>
    </row>
    <row r="186" spans="3:3">
      <c r="C186" s="74" t="str">
        <f t="shared" ca="1" si="2"/>
        <v/>
      </c>
    </row>
    <row r="187" spans="3:3">
      <c r="C187" s="74" t="str">
        <f t="shared" ca="1" si="2"/>
        <v/>
      </c>
    </row>
    <row r="188" spans="3:3">
      <c r="C188" s="74" t="str">
        <f t="shared" ca="1" si="2"/>
        <v/>
      </c>
    </row>
    <row r="189" spans="3:3">
      <c r="C189" s="74" t="str">
        <f t="shared" ca="1" si="2"/>
        <v/>
      </c>
    </row>
    <row r="190" spans="3:3">
      <c r="C190" s="74" t="str">
        <f t="shared" ca="1" si="2"/>
        <v/>
      </c>
    </row>
    <row r="191" spans="3:3">
      <c r="C191" s="74" t="str">
        <f t="shared" ca="1" si="2"/>
        <v/>
      </c>
    </row>
    <row r="192" spans="3:3">
      <c r="C192" s="74" t="str">
        <f t="shared" ca="1" si="2"/>
        <v/>
      </c>
    </row>
    <row r="193" spans="3:3">
      <c r="C193" s="74" t="str">
        <f t="shared" ca="1" si="2"/>
        <v/>
      </c>
    </row>
    <row r="194" spans="3:3">
      <c r="C194" s="74" t="str">
        <f t="shared" ca="1" si="2"/>
        <v/>
      </c>
    </row>
    <row r="195" spans="3:3">
      <c r="C195" s="74" t="str">
        <f t="shared" ref="C195:C247" ca="1" si="3">IF(B195&lt;&gt;"", IF(C195="", NOW(), C195), "")</f>
        <v/>
      </c>
    </row>
    <row r="196" spans="3:3">
      <c r="C196" s="74" t="str">
        <f t="shared" ca="1" si="3"/>
        <v/>
      </c>
    </row>
    <row r="197" spans="3:3">
      <c r="C197" s="74" t="str">
        <f t="shared" ca="1" si="3"/>
        <v/>
      </c>
    </row>
    <row r="198" spans="3:3">
      <c r="C198" s="74" t="str">
        <f t="shared" ca="1" si="3"/>
        <v/>
      </c>
    </row>
    <row r="199" spans="3:3">
      <c r="C199" s="74" t="str">
        <f t="shared" ca="1" si="3"/>
        <v/>
      </c>
    </row>
    <row r="200" spans="3:3">
      <c r="C200" s="74" t="str">
        <f t="shared" ca="1" si="3"/>
        <v/>
      </c>
    </row>
    <row r="201" spans="3:3">
      <c r="C201" s="74" t="str">
        <f t="shared" ca="1" si="3"/>
        <v/>
      </c>
    </row>
    <row r="202" spans="3:3">
      <c r="C202" s="74" t="str">
        <f t="shared" ca="1" si="3"/>
        <v/>
      </c>
    </row>
    <row r="203" spans="3:3">
      <c r="C203" s="74" t="str">
        <f t="shared" ca="1" si="3"/>
        <v/>
      </c>
    </row>
    <row r="204" spans="3:3">
      <c r="C204" s="74" t="str">
        <f t="shared" ca="1" si="3"/>
        <v/>
      </c>
    </row>
    <row r="205" spans="3:3">
      <c r="C205" s="74" t="str">
        <f t="shared" ca="1" si="3"/>
        <v/>
      </c>
    </row>
    <row r="206" spans="3:3">
      <c r="C206" s="74" t="str">
        <f t="shared" ca="1" si="3"/>
        <v/>
      </c>
    </row>
    <row r="207" spans="3:3">
      <c r="C207" s="74" t="str">
        <f t="shared" ca="1" si="3"/>
        <v/>
      </c>
    </row>
    <row r="208" spans="3:3">
      <c r="C208" s="74" t="str">
        <f t="shared" ca="1" si="3"/>
        <v/>
      </c>
    </row>
    <row r="209" spans="3:3">
      <c r="C209" s="74" t="str">
        <f t="shared" ca="1" si="3"/>
        <v/>
      </c>
    </row>
    <row r="210" spans="3:3">
      <c r="C210" s="74" t="str">
        <f t="shared" ca="1" si="3"/>
        <v/>
      </c>
    </row>
    <row r="211" spans="3:3">
      <c r="C211" s="74" t="str">
        <f t="shared" ca="1" si="3"/>
        <v/>
      </c>
    </row>
    <row r="212" spans="3:3">
      <c r="C212" s="74" t="str">
        <f t="shared" ca="1" si="3"/>
        <v/>
      </c>
    </row>
    <row r="213" spans="3:3">
      <c r="C213" s="74" t="str">
        <f t="shared" ca="1" si="3"/>
        <v/>
      </c>
    </row>
    <row r="214" spans="3:3">
      <c r="C214" s="74" t="str">
        <f t="shared" ca="1" si="3"/>
        <v/>
      </c>
    </row>
    <row r="215" spans="3:3">
      <c r="C215" s="74" t="str">
        <f t="shared" ca="1" si="3"/>
        <v/>
      </c>
    </row>
    <row r="216" spans="3:3">
      <c r="C216" s="74" t="str">
        <f t="shared" ca="1" si="3"/>
        <v/>
      </c>
    </row>
    <row r="217" spans="3:3">
      <c r="C217" s="74" t="str">
        <f t="shared" ca="1" si="3"/>
        <v/>
      </c>
    </row>
    <row r="218" spans="3:3">
      <c r="C218" s="74" t="str">
        <f t="shared" ca="1" si="3"/>
        <v/>
      </c>
    </row>
    <row r="219" spans="3:3">
      <c r="C219" s="74" t="str">
        <f t="shared" ca="1" si="3"/>
        <v/>
      </c>
    </row>
    <row r="220" spans="3:3">
      <c r="C220" s="74" t="str">
        <f t="shared" ca="1" si="3"/>
        <v/>
      </c>
    </row>
    <row r="221" spans="3:3">
      <c r="C221" s="74" t="str">
        <f t="shared" ca="1" si="3"/>
        <v/>
      </c>
    </row>
    <row r="222" spans="3:3">
      <c r="C222" s="74" t="str">
        <f t="shared" ca="1" si="3"/>
        <v/>
      </c>
    </row>
    <row r="223" spans="3:3">
      <c r="C223" s="74" t="str">
        <f t="shared" ca="1" si="3"/>
        <v/>
      </c>
    </row>
    <row r="224" spans="3:3">
      <c r="C224" s="74" t="str">
        <f t="shared" ca="1" si="3"/>
        <v/>
      </c>
    </row>
    <row r="225" spans="3:3">
      <c r="C225" s="74" t="str">
        <f t="shared" ca="1" si="3"/>
        <v/>
      </c>
    </row>
    <row r="226" spans="3:3">
      <c r="C226" s="74" t="str">
        <f t="shared" ca="1" si="3"/>
        <v/>
      </c>
    </row>
    <row r="227" spans="3:3">
      <c r="C227" s="74" t="str">
        <f t="shared" ca="1" si="3"/>
        <v/>
      </c>
    </row>
    <row r="228" spans="3:3">
      <c r="C228" s="74" t="str">
        <f t="shared" ca="1" si="3"/>
        <v/>
      </c>
    </row>
    <row r="229" spans="3:3">
      <c r="C229" s="74" t="str">
        <f t="shared" ca="1" si="3"/>
        <v/>
      </c>
    </row>
    <row r="230" spans="3:3">
      <c r="C230" s="74" t="str">
        <f t="shared" ca="1" si="3"/>
        <v/>
      </c>
    </row>
    <row r="231" spans="3:3">
      <c r="C231" s="74" t="str">
        <f t="shared" ca="1" si="3"/>
        <v/>
      </c>
    </row>
    <row r="232" spans="3:3">
      <c r="C232" s="74" t="str">
        <f t="shared" ca="1" si="3"/>
        <v/>
      </c>
    </row>
    <row r="233" spans="3:3">
      <c r="C233" s="74" t="str">
        <f t="shared" ca="1" si="3"/>
        <v/>
      </c>
    </row>
    <row r="234" spans="3:3">
      <c r="C234" s="74" t="str">
        <f t="shared" ca="1" si="3"/>
        <v/>
      </c>
    </row>
    <row r="235" spans="3:3">
      <c r="C235" s="74" t="str">
        <f t="shared" ca="1" si="3"/>
        <v/>
      </c>
    </row>
    <row r="236" spans="3:3">
      <c r="C236" s="74" t="str">
        <f t="shared" ca="1" si="3"/>
        <v/>
      </c>
    </row>
    <row r="237" spans="3:3">
      <c r="C237" s="74" t="str">
        <f t="shared" ca="1" si="3"/>
        <v/>
      </c>
    </row>
    <row r="238" spans="3:3">
      <c r="C238" s="74" t="str">
        <f t="shared" ca="1" si="3"/>
        <v/>
      </c>
    </row>
    <row r="239" spans="3:3">
      <c r="C239" s="74" t="str">
        <f t="shared" ca="1" si="3"/>
        <v/>
      </c>
    </row>
    <row r="240" spans="3:3">
      <c r="C240" s="74" t="str">
        <f t="shared" ca="1" si="3"/>
        <v/>
      </c>
    </row>
    <row r="241" spans="3:3">
      <c r="C241" s="74" t="str">
        <f t="shared" ca="1" si="3"/>
        <v/>
      </c>
    </row>
    <row r="242" spans="3:3">
      <c r="C242" s="74" t="str">
        <f t="shared" ca="1" si="3"/>
        <v/>
      </c>
    </row>
    <row r="243" spans="3:3">
      <c r="C243" s="74" t="str">
        <f t="shared" ca="1" si="3"/>
        <v/>
      </c>
    </row>
    <row r="244" spans="3:3">
      <c r="C244" s="74" t="str">
        <f t="shared" ca="1" si="3"/>
        <v/>
      </c>
    </row>
    <row r="245" spans="3:3">
      <c r="C245" s="74" t="str">
        <f t="shared" ca="1" si="3"/>
        <v/>
      </c>
    </row>
    <row r="246" spans="3:3">
      <c r="C246" s="74" t="str">
        <f t="shared" ca="1" si="3"/>
        <v/>
      </c>
    </row>
    <row r="247" spans="3:3">
      <c r="C247" s="74" t="str">
        <f t="shared" ca="1" si="3"/>
        <v/>
      </c>
    </row>
  </sheetData>
  <conditionalFormatting sqref="G1">
    <cfRule type="iconSet" priority="316">
      <iconSet iconSet="3TrafficLights2">
        <cfvo type="percent" val="0"/>
        <cfvo type="num" val="0"/>
        <cfvo type="num" val="8"/>
      </iconSet>
    </cfRule>
  </conditionalFormatting>
  <conditionalFormatting sqref="I1">
    <cfRule type="colorScale" priority="31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3">
    <cfRule type="colorScale" priority="24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3">
    <cfRule type="iconSet" priority="242">
      <iconSet iconSet="3TrafficLights2">
        <cfvo type="percent" val="0"/>
        <cfvo type="num" val="0"/>
        <cfvo type="num" val="8"/>
      </iconSet>
    </cfRule>
  </conditionalFormatting>
  <conditionalFormatting sqref="B3">
    <cfRule type="cellIs" dxfId="29" priority="244" operator="equal">
      <formula>#REF!</formula>
    </cfRule>
    <cfRule type="cellIs" dxfId="28" priority="245" operator="equal">
      <formula>#REF!</formula>
    </cfRule>
    <cfRule type="cellIs" dxfId="27" priority="246" operator="equal">
      <formula>#REF!</formula>
    </cfRule>
    <cfRule type="cellIs" dxfId="26" priority="247" operator="equal">
      <formula>#REF!</formula>
    </cfRule>
    <cfRule type="cellIs" dxfId="25" priority="248" operator="equal">
      <formula>#REF!</formula>
    </cfRule>
  </conditionalFormatting>
  <conditionalFormatting sqref="B3">
    <cfRule type="cellIs" dxfId="24" priority="249" operator="equal">
      <formula>#REF!</formula>
    </cfRule>
  </conditionalFormatting>
  <conditionalFormatting sqref="B3">
    <cfRule type="cellIs" dxfId="23" priority="250" operator="equal">
      <formula>#REF!</formula>
    </cfRule>
    <cfRule type="cellIs" dxfId="22" priority="251" operator="equal">
      <formula>#REF!</formula>
    </cfRule>
    <cfRule type="cellIs" dxfId="21" priority="252" operator="equal">
      <formula>#REF!</formula>
    </cfRule>
    <cfRule type="cellIs" dxfId="20" priority="253" operator="equal">
      <formula>#REF!</formula>
    </cfRule>
  </conditionalFormatting>
  <conditionalFormatting sqref="I4">
    <cfRule type="colorScale" priority="24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4">
    <cfRule type="iconSet" priority="240">
      <iconSet iconSet="3TrafficLights2">
        <cfvo type="percent" val="0"/>
        <cfvo type="num" val="0"/>
        <cfvo type="num" val="8"/>
      </iconSet>
    </cfRule>
  </conditionalFormatting>
  <conditionalFormatting sqref="I7">
    <cfRule type="colorScale" priority="21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7">
    <cfRule type="iconSet" priority="216">
      <iconSet iconSet="3TrafficLights2">
        <cfvo type="percent" val="0"/>
        <cfvo type="num" val="0"/>
        <cfvo type="num" val="8"/>
      </iconSet>
    </cfRule>
  </conditionalFormatting>
  <conditionalFormatting sqref="I7">
    <cfRule type="colorScale" priority="218">
      <colorScale>
        <cfvo type="min"/>
        <cfvo type="max"/>
        <color rgb="FFC00000"/>
        <color rgb="FF00B050"/>
      </colorScale>
    </cfRule>
  </conditionalFormatting>
  <conditionalFormatting sqref="I7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2">
      <colorScale>
        <cfvo type="num" val="0"/>
        <cfvo type="num" val="100"/>
        <color rgb="FF008000"/>
        <color rgb="FFFF0000"/>
      </colorScale>
    </cfRule>
  </conditionalFormatting>
  <conditionalFormatting sqref="I8">
    <cfRule type="colorScale" priority="20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8">
    <cfRule type="colorScale" priority="20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8">
    <cfRule type="colorScale" priority="206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8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0">
      <colorScale>
        <cfvo type="min"/>
        <cfvo type="max"/>
        <color rgb="FFC00000"/>
        <color rgb="FF00B050"/>
      </colorScale>
    </cfRule>
  </conditionalFormatting>
  <conditionalFormatting sqref="I8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4">
      <colorScale>
        <cfvo type="num" val="0"/>
        <cfvo type="num" val="100"/>
        <color rgb="FF008000"/>
        <color rgb="FFFF0000"/>
      </colorScale>
    </cfRule>
  </conditionalFormatting>
  <conditionalFormatting sqref="F8">
    <cfRule type="iconSet" priority="215">
      <iconSet iconSet="3TrafficLights2">
        <cfvo type="percent" val="0"/>
        <cfvo type="num" val="0"/>
        <cfvo type="num" val="8"/>
      </iconSet>
    </cfRule>
  </conditionalFormatting>
  <conditionalFormatting sqref="I9:J9">
    <cfRule type="colorScale" priority="19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0">
      <colorScale>
        <cfvo type="min"/>
        <cfvo type="max"/>
        <color rgb="FFC00000"/>
        <color rgb="FF00B050"/>
      </colorScale>
    </cfRule>
  </conditionalFormatting>
  <conditionalFormatting sqref="I9"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4">
      <colorScale>
        <cfvo type="num" val="0"/>
        <cfvo type="num" val="100"/>
        <color rgb="FF008000"/>
        <color rgb="FFFF0000"/>
      </colorScale>
    </cfRule>
  </conditionalFormatting>
  <conditionalFormatting sqref="F9">
    <cfRule type="iconSet" priority="205">
      <iconSet iconSet="3TrafficLights2">
        <cfvo type="percent" val="0"/>
        <cfvo type="num" val="0"/>
        <cfvo type="num" val="8"/>
      </iconSet>
    </cfRule>
  </conditionalFormatting>
  <conditionalFormatting sqref="I10:J10">
    <cfRule type="colorScale" priority="18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B10">
    <cfRule type="cellIs" dxfId="19" priority="182" operator="equal">
      <formula>#REF!</formula>
    </cfRule>
    <cfRule type="cellIs" dxfId="18" priority="183" operator="equal">
      <formula>#REF!</formula>
    </cfRule>
    <cfRule type="cellIs" dxfId="17" priority="184" operator="equal">
      <formula>#REF!</formula>
    </cfRule>
    <cfRule type="cellIs" dxfId="16" priority="185" operator="equal">
      <formula>#REF!</formula>
    </cfRule>
    <cfRule type="cellIs" dxfId="15" priority="186" operator="equal">
      <formula>#REF!</formula>
    </cfRule>
  </conditionalFormatting>
  <conditionalFormatting sqref="B10">
    <cfRule type="cellIs" dxfId="14" priority="187" operator="equal">
      <formula>#REF!</formula>
    </cfRule>
  </conditionalFormatting>
  <conditionalFormatting sqref="B10">
    <cfRule type="cellIs" dxfId="13" priority="188" operator="equal">
      <formula>#REF!</formula>
    </cfRule>
    <cfRule type="cellIs" dxfId="12" priority="189" operator="equal">
      <formula>#REF!</formula>
    </cfRule>
    <cfRule type="cellIs" dxfId="11" priority="190" operator="equal">
      <formula>#REF!</formula>
    </cfRule>
    <cfRule type="cellIs" dxfId="10" priority="191" operator="equal">
      <formula>#REF!</formula>
    </cfRule>
  </conditionalFormatting>
  <conditionalFormatting sqref="I10">
    <cfRule type="colorScale" priority="192">
      <colorScale>
        <cfvo type="min"/>
        <cfvo type="max"/>
        <color rgb="FFC00000"/>
        <color rgb="FF00B050"/>
      </colorScale>
    </cfRule>
  </conditionalFormatting>
  <conditionalFormatting sqref="I10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6">
      <colorScale>
        <cfvo type="num" val="0"/>
        <cfvo type="num" val="100"/>
        <color rgb="FF008000"/>
        <color rgb="FFFF0000"/>
      </colorScale>
    </cfRule>
  </conditionalFormatting>
  <conditionalFormatting sqref="F10">
    <cfRule type="iconSet" priority="197">
      <iconSet iconSet="3TrafficLights2">
        <cfvo type="percent" val="0"/>
        <cfvo type="num" val="0"/>
        <cfvo type="num" val="8"/>
      </iconSet>
    </cfRule>
  </conditionalFormatting>
  <conditionalFormatting sqref="I11:J11">
    <cfRule type="colorScale" priority="17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11">
    <cfRule type="colorScale" priority="17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11">
    <cfRule type="colorScale" priority="17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1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5">
      <colorScale>
        <cfvo type="min"/>
        <cfvo type="max"/>
        <color rgb="FFC00000"/>
        <color rgb="FF00B050"/>
      </colorScale>
    </cfRule>
  </conditionalFormatting>
  <conditionalFormatting sqref="I11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9">
      <colorScale>
        <cfvo type="num" val="0"/>
        <cfvo type="num" val="100"/>
        <color rgb="FF008000"/>
        <color rgb="FFFF0000"/>
      </colorScale>
    </cfRule>
  </conditionalFormatting>
  <conditionalFormatting sqref="F11">
    <cfRule type="iconSet" priority="180">
      <iconSet iconSet="3TrafficLights2">
        <cfvo type="percent" val="0"/>
        <cfvo type="num" val="0"/>
        <cfvo type="num" val="8"/>
      </iconSet>
    </cfRule>
  </conditionalFormatting>
  <conditionalFormatting sqref="I12:J13">
    <cfRule type="colorScale" priority="16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12:K13">
    <cfRule type="colorScale" priority="16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12:L13">
    <cfRule type="colorScale" priority="16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2:I13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5">
      <colorScale>
        <cfvo type="min"/>
        <cfvo type="max"/>
        <color rgb="FFC00000"/>
        <color rgb="FF00B050"/>
      </colorScale>
    </cfRule>
  </conditionalFormatting>
  <conditionalFormatting sqref="I12:I1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9">
      <colorScale>
        <cfvo type="num" val="0"/>
        <cfvo type="num" val="100"/>
        <color rgb="FF008000"/>
        <color rgb="FFFF0000"/>
      </colorScale>
    </cfRule>
  </conditionalFormatting>
  <conditionalFormatting sqref="F12:F13">
    <cfRule type="iconSet" priority="170">
      <iconSet iconSet="3TrafficLights2">
        <cfvo type="percent" val="0"/>
        <cfvo type="num" val="0"/>
        <cfvo type="num" val="8"/>
      </iconSet>
    </cfRule>
  </conditionalFormatting>
  <conditionalFormatting sqref="B14:B15">
    <cfRule type="iconSet" priority="156">
      <iconSet iconSet="3Flags">
        <cfvo type="percent" val="0"/>
        <cfvo type="percent" val="33"/>
        <cfvo type="percent" val="67"/>
      </iconSet>
    </cfRule>
  </conditionalFormatting>
  <conditionalFormatting sqref="I14:J15">
    <cfRule type="colorScale" priority="15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14:F15">
    <cfRule type="iconSet" priority="154">
      <iconSet iconSet="3TrafficLights2">
        <cfvo type="percent" val="0"/>
        <cfvo type="num" val="0"/>
        <cfvo type="num" val="8"/>
      </iconSet>
    </cfRule>
  </conditionalFormatting>
  <conditionalFormatting sqref="I14:I15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I15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I15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0">
      <colorScale>
        <cfvo type="num" val="0"/>
        <cfvo type="num" val="100"/>
        <color rgb="FF008000"/>
        <color rgb="FFFF0000"/>
      </colorScale>
    </cfRule>
  </conditionalFormatting>
  <conditionalFormatting sqref="I16:J16">
    <cfRule type="colorScale" priority="14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6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iconSet" priority="149">
      <iconSet iconSet="3TrafficLights2">
        <cfvo type="percent" val="0"/>
        <cfvo type="num" val="0"/>
        <cfvo type="num" val="8"/>
      </iconSet>
    </cfRule>
  </conditionalFormatting>
  <conditionalFormatting sqref="B16">
    <cfRule type="iconSet" priority="150">
      <iconSet iconSet="3Flags">
        <cfvo type="percent" val="0"/>
        <cfvo type="percent" val="33"/>
        <cfvo type="percent" val="67"/>
      </iconSet>
    </cfRule>
  </conditionalFormatting>
  <conditionalFormatting sqref="I16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6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3">
      <colorScale>
        <cfvo type="num" val="0"/>
        <cfvo type="num" val="100"/>
        <color rgb="FF008000"/>
        <color rgb="FFFF0000"/>
      </colorScale>
    </cfRule>
  </conditionalFormatting>
  <conditionalFormatting sqref="I17:J17">
    <cfRule type="colorScale" priority="14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7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iconSet" priority="143">
      <iconSet iconSet="3TrafficLights2">
        <cfvo type="percent" val="0"/>
        <cfvo type="num" val="0"/>
        <cfvo type="num" val="8"/>
      </iconSet>
    </cfRule>
  </conditionalFormatting>
  <conditionalFormatting sqref="I17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num" val="0"/>
        <cfvo type="num" val="100"/>
        <color rgb="FF008000"/>
        <color rgb="FFFF0000"/>
      </colorScale>
    </cfRule>
  </conditionalFormatting>
  <conditionalFormatting sqref="I18:J18">
    <cfRule type="colorScale" priority="134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8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iconSet" priority="136">
      <iconSet iconSet="3TrafficLights2">
        <cfvo type="percent" val="0"/>
        <cfvo type="num" val="0"/>
        <cfvo type="num" val="8"/>
      </iconSet>
    </cfRule>
  </conditionalFormatting>
  <conditionalFormatting sqref="B18">
    <cfRule type="iconSet" priority="137">
      <iconSet iconSet="3Flags">
        <cfvo type="percent" val="0"/>
        <cfvo type="percent" val="33"/>
        <cfvo type="percent" val="67"/>
      </iconSet>
    </cfRule>
  </conditionalFormatting>
  <conditionalFormatting sqref="I18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0">
      <colorScale>
        <cfvo type="num" val="0"/>
        <cfvo type="num" val="100"/>
        <color rgb="FF008000"/>
        <color rgb="FFFF0000"/>
      </colorScale>
    </cfRule>
  </conditionalFormatting>
  <conditionalFormatting sqref="I19:J19 J18:J22">
    <cfRule type="colorScale" priority="12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19">
    <cfRule type="iconSet" priority="127">
      <iconSet iconSet="3TrafficLights2">
        <cfvo type="percent" val="0"/>
        <cfvo type="num" val="0"/>
        <cfvo type="num" val="8"/>
      </iconSet>
    </cfRule>
  </conditionalFormatting>
  <conditionalFormatting sqref="I19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">
    <cfRule type="iconSet" priority="130">
      <iconSet iconSet="3Flags">
        <cfvo type="percent" val="0"/>
        <cfvo type="percent" val="33"/>
        <cfvo type="percent" val="67"/>
      </iconSet>
    </cfRule>
  </conditionalFormatting>
  <conditionalFormatting sqref="I19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3">
      <colorScale>
        <cfvo type="num" val="0"/>
        <cfvo type="num" val="100"/>
        <color rgb="FF008000"/>
        <color rgb="FFFF0000"/>
      </colorScale>
    </cfRule>
  </conditionalFormatting>
  <conditionalFormatting sqref="I20">
    <cfRule type="colorScale" priority="12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20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6">
      <colorScale>
        <cfvo type="num" val="0"/>
        <cfvo type="num" val="100"/>
        <color rgb="FF008000"/>
        <color rgb="FFFF0000"/>
      </colorScale>
    </cfRule>
  </conditionalFormatting>
  <conditionalFormatting sqref="I21">
    <cfRule type="colorScale" priority="11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21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num" val="0"/>
        <cfvo type="num" val="100"/>
        <color rgb="FF008000"/>
        <color rgb="FFFF0000"/>
      </colorScale>
    </cfRule>
  </conditionalFormatting>
  <conditionalFormatting sqref="I22:J22">
    <cfRule type="colorScale" priority="11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2">
    <cfRule type="iconSet" priority="107">
      <iconSet iconSet="3TrafficLights2">
        <cfvo type="percent" val="0"/>
        <cfvo type="num" val="0"/>
        <cfvo type="num" val="7"/>
      </iconSet>
    </cfRule>
    <cfRule type="iconSet" priority="108">
      <iconSet>
        <cfvo type="percent" val="0"/>
        <cfvo type="num" val="0"/>
        <cfvo type="num" val="14"/>
      </iconSet>
    </cfRule>
    <cfRule type="iconSet" priority="109">
      <iconSet iconSet="3TrafficLights2">
        <cfvo type="percent" val="0"/>
        <cfvo type="num" val="0"/>
        <cfvo type="num" val="14"/>
      </iconSet>
    </cfRule>
    <cfRule type="iconSet" priority="110">
      <iconSet iconSet="3TrafficLights2">
        <cfvo type="percent" val="0"/>
        <cfvo type="num" val="0"/>
        <cfvo type="num" val="8"/>
      </iconSet>
    </cfRule>
  </conditionalFormatting>
  <conditionalFormatting sqref="I22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">
    <cfRule type="iconSet" priority="113">
      <iconSet iconSet="3Flags">
        <cfvo type="percent" val="0"/>
        <cfvo type="percent" val="33"/>
        <cfvo type="percent" val="67"/>
      </iconSet>
    </cfRule>
  </conditionalFormatting>
  <conditionalFormatting sqref="I22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6">
      <colorScale>
        <cfvo type="num" val="0"/>
        <cfvo type="num" val="100"/>
        <color rgb="FF008000"/>
        <color rgb="FFFF0000"/>
      </colorScale>
    </cfRule>
  </conditionalFormatting>
  <conditionalFormatting sqref="I23:J23">
    <cfRule type="colorScale" priority="10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3">
    <cfRule type="iconSet" priority="97">
      <iconSet iconSet="3TrafficLights2">
        <cfvo type="percent" val="0"/>
        <cfvo type="num" val="0"/>
        <cfvo type="num" val="7"/>
      </iconSet>
    </cfRule>
    <cfRule type="iconSet" priority="98">
      <iconSet>
        <cfvo type="percent" val="0"/>
        <cfvo type="num" val="0"/>
        <cfvo type="num" val="14"/>
      </iconSet>
    </cfRule>
    <cfRule type="iconSet" priority="99">
      <iconSet iconSet="3TrafficLights2">
        <cfvo type="percent" val="0"/>
        <cfvo type="num" val="0"/>
        <cfvo type="num" val="14"/>
      </iconSet>
    </cfRule>
    <cfRule type="iconSet" priority="100">
      <iconSet iconSet="3TrafficLights2">
        <cfvo type="percent" val="0"/>
        <cfvo type="num" val="0"/>
        <cfvo type="num" val="8"/>
      </iconSet>
    </cfRule>
  </conditionalFormatting>
  <conditionalFormatting sqref="I2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">
    <cfRule type="iconSet" priority="103">
      <iconSet iconSet="3Flags">
        <cfvo type="percent" val="0"/>
        <cfvo type="percent" val="33"/>
        <cfvo type="percent" val="67"/>
      </iconSet>
    </cfRule>
  </conditionalFormatting>
  <conditionalFormatting sqref="I2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6">
      <colorScale>
        <cfvo type="num" val="0"/>
        <cfvo type="num" val="100"/>
        <color rgb="FF008000"/>
        <color rgb="FFFF0000"/>
      </colorScale>
    </cfRule>
  </conditionalFormatting>
  <conditionalFormatting sqref="I24:J24">
    <cfRule type="colorScale" priority="9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4">
    <cfRule type="iconSet" priority="87">
      <iconSet iconSet="3TrafficLights2">
        <cfvo type="percent" val="0"/>
        <cfvo type="num" val="0"/>
        <cfvo type="num" val="7"/>
      </iconSet>
    </cfRule>
    <cfRule type="iconSet" priority="88">
      <iconSet>
        <cfvo type="percent" val="0"/>
        <cfvo type="num" val="0"/>
        <cfvo type="num" val="14"/>
      </iconSet>
    </cfRule>
    <cfRule type="iconSet" priority="89">
      <iconSet iconSet="3TrafficLights2">
        <cfvo type="percent" val="0"/>
        <cfvo type="num" val="0"/>
        <cfvo type="num" val="14"/>
      </iconSet>
    </cfRule>
    <cfRule type="iconSet" priority="90">
      <iconSet iconSet="3TrafficLights2">
        <cfvo type="percent" val="0"/>
        <cfvo type="num" val="0"/>
        <cfvo type="num" val="8"/>
      </iconSet>
    </cfRule>
  </conditionalFormatting>
  <conditionalFormatting sqref="I24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">
    <cfRule type="iconSet" priority="93">
      <iconSet iconSet="3Flags">
        <cfvo type="percent" val="0"/>
        <cfvo type="percent" val="33"/>
        <cfvo type="percent" val="67"/>
      </iconSet>
    </cfRule>
  </conditionalFormatting>
  <conditionalFormatting sqref="I24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4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">
      <colorScale>
        <cfvo type="num" val="0"/>
        <cfvo type="num" val="100"/>
        <color rgb="FF008000"/>
        <color rgb="FFFF0000"/>
      </colorScale>
    </cfRule>
  </conditionalFormatting>
  <conditionalFormatting sqref="I25:J25">
    <cfRule type="colorScale" priority="7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5">
    <cfRule type="iconSet" priority="79">
      <iconSet iconSet="3TrafficLights2">
        <cfvo type="percent" val="0"/>
        <cfvo type="num" val="0"/>
        <cfvo type="num" val="7"/>
      </iconSet>
    </cfRule>
    <cfRule type="iconSet" priority="80">
      <iconSet>
        <cfvo type="percent" val="0"/>
        <cfvo type="num" val="0"/>
        <cfvo type="num" val="14"/>
      </iconSet>
    </cfRule>
    <cfRule type="iconSet" priority="81">
      <iconSet iconSet="3TrafficLights2">
        <cfvo type="percent" val="0"/>
        <cfvo type="num" val="0"/>
        <cfvo type="num" val="14"/>
      </iconSet>
    </cfRule>
    <cfRule type="iconSet" priority="82">
      <iconSet iconSet="3TrafficLights2">
        <cfvo type="percent" val="0"/>
        <cfvo type="num" val="0"/>
        <cfvo type="num" val="8"/>
      </iconSet>
    </cfRule>
  </conditionalFormatting>
  <conditionalFormatting sqref="I2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num" val="0"/>
        <cfvo type="num" val="100"/>
        <color rgb="FF008000"/>
        <color rgb="FFFF0000"/>
      </colorScale>
    </cfRule>
  </conditionalFormatting>
  <conditionalFormatting sqref="I26:J26">
    <cfRule type="colorScale" priority="6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B26">
    <cfRule type="iconSet" priority="69">
      <iconSet iconSet="3Flags">
        <cfvo type="percent" val="0"/>
        <cfvo type="percent" val="33"/>
        <cfvo type="percent" val="67"/>
      </iconSet>
    </cfRule>
  </conditionalFormatting>
  <conditionalFormatting sqref="F26">
    <cfRule type="iconSet" priority="70">
      <iconSet iconSet="3TrafficLights2">
        <cfvo type="percent" val="0"/>
        <cfvo type="num" val="0"/>
        <cfvo type="num" val="7"/>
      </iconSet>
    </cfRule>
    <cfRule type="iconSet" priority="71">
      <iconSet>
        <cfvo type="percent" val="0"/>
        <cfvo type="num" val="0"/>
        <cfvo type="num" val="14"/>
      </iconSet>
    </cfRule>
    <cfRule type="iconSet" priority="72">
      <iconSet iconSet="3TrafficLights2">
        <cfvo type="percent" val="0"/>
        <cfvo type="num" val="0"/>
        <cfvo type="num" val="14"/>
      </iconSet>
    </cfRule>
    <cfRule type="iconSet" priority="73">
      <iconSet iconSet="3TrafficLights2">
        <cfvo type="percent" val="0"/>
        <cfvo type="num" val="0"/>
        <cfvo type="num" val="8"/>
      </iconSet>
    </cfRule>
  </conditionalFormatting>
  <conditionalFormatting sqref="I26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num" val="0"/>
        <cfvo type="num" val="100"/>
        <color rgb="FF008000"/>
        <color rgb="FFFF0000"/>
      </colorScale>
    </cfRule>
  </conditionalFormatting>
  <conditionalFormatting sqref="H27:I27">
    <cfRule type="colorScale" priority="60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7">
    <cfRule type="iconSet" priority="61">
      <iconSet iconSet="3TrafficLights2">
        <cfvo type="percent" val="0"/>
        <cfvo type="num" val="0"/>
        <cfvo type="num" val="7"/>
      </iconSet>
    </cfRule>
    <cfRule type="iconSet" priority="62">
      <iconSet>
        <cfvo type="percent" val="0"/>
        <cfvo type="num" val="0"/>
        <cfvo type="num" val="14"/>
      </iconSet>
    </cfRule>
    <cfRule type="iconSet" priority="63">
      <iconSet iconSet="3TrafficLights2">
        <cfvo type="percent" val="0"/>
        <cfvo type="num" val="0"/>
        <cfvo type="num" val="14"/>
      </iconSet>
    </cfRule>
    <cfRule type="iconSet" priority="64">
      <iconSet iconSet="3TrafficLights2">
        <cfvo type="percent" val="0"/>
        <cfvo type="num" val="0"/>
        <cfvo type="num" val="8"/>
      </iconSet>
    </cfRule>
  </conditionalFormatting>
  <conditionalFormatting sqref="H2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num" val="0"/>
        <cfvo type="num" val="100"/>
        <color rgb="FF008000"/>
        <color rgb="FFFF0000"/>
      </colorScale>
    </cfRule>
  </conditionalFormatting>
  <conditionalFormatting sqref="H28:I28">
    <cfRule type="colorScale" priority="5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8">
    <cfRule type="iconSet" priority="53">
      <iconSet iconSet="3TrafficLights2">
        <cfvo type="percent" val="0"/>
        <cfvo type="num" val="0"/>
        <cfvo type="num" val="7"/>
      </iconSet>
    </cfRule>
    <cfRule type="iconSet" priority="54">
      <iconSet>
        <cfvo type="percent" val="0"/>
        <cfvo type="num" val="0"/>
        <cfvo type="num" val="14"/>
      </iconSet>
    </cfRule>
    <cfRule type="iconSet" priority="55">
      <iconSet iconSet="3TrafficLights2">
        <cfvo type="percent" val="0"/>
        <cfvo type="num" val="0"/>
        <cfvo type="num" val="14"/>
      </iconSet>
    </cfRule>
    <cfRule type="iconSet" priority="56">
      <iconSet iconSet="3TrafficLights2">
        <cfvo type="percent" val="0"/>
        <cfvo type="num" val="0"/>
        <cfvo type="num" val="8"/>
      </iconSet>
    </cfRule>
  </conditionalFormatting>
  <conditionalFormatting sqref="H2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0"/>
        <cfvo type="num" val="100"/>
        <color rgb="FF008000"/>
        <color rgb="FFFF0000"/>
      </colorScale>
    </cfRule>
  </conditionalFormatting>
  <conditionalFormatting sqref="H29:I29">
    <cfRule type="colorScale" priority="44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9">
    <cfRule type="iconSet" priority="45">
      <iconSet iconSet="3TrafficLights2">
        <cfvo type="percent" val="0"/>
        <cfvo type="num" val="0"/>
        <cfvo type="num" val="7"/>
      </iconSet>
    </cfRule>
    <cfRule type="iconSet" priority="46">
      <iconSet>
        <cfvo type="percent" val="0"/>
        <cfvo type="num" val="0"/>
        <cfvo type="num" val="14"/>
      </iconSet>
    </cfRule>
    <cfRule type="iconSet" priority="47">
      <iconSet iconSet="3TrafficLights2">
        <cfvo type="percent" val="0"/>
        <cfvo type="num" val="0"/>
        <cfvo type="num" val="14"/>
      </iconSet>
    </cfRule>
    <cfRule type="iconSet" priority="48">
      <iconSet iconSet="3TrafficLights2">
        <cfvo type="percent" val="0"/>
        <cfvo type="num" val="0"/>
        <cfvo type="num" val="8"/>
      </iconSet>
    </cfRule>
  </conditionalFormatting>
  <conditionalFormatting sqref="H2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num" val="0"/>
        <cfvo type="num" val="100"/>
        <color rgb="FF008000"/>
        <color rgb="FFFF0000"/>
      </colorScale>
    </cfRule>
  </conditionalFormatting>
  <conditionalFormatting sqref="H2:I2 H3:H4">
    <cfRule type="colorScale" priority="36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">
    <cfRule type="iconSet" priority="37">
      <iconSet iconSet="3TrafficLights2">
        <cfvo type="percent" val="0"/>
        <cfvo type="num" val="0"/>
        <cfvo type="num" val="7"/>
      </iconSet>
    </cfRule>
    <cfRule type="iconSet" priority="38">
      <iconSet>
        <cfvo type="percent" val="0"/>
        <cfvo type="num" val="0"/>
        <cfvo type="num" val="14"/>
      </iconSet>
    </cfRule>
    <cfRule type="iconSet" priority="39">
      <iconSet iconSet="3TrafficLights2">
        <cfvo type="percent" val="0"/>
        <cfvo type="num" val="0"/>
        <cfvo type="num" val="14"/>
      </iconSet>
    </cfRule>
    <cfRule type="iconSet" priority="40">
      <iconSet iconSet="3TrafficLights2">
        <cfvo type="percent" val="0"/>
        <cfvo type="num" val="0"/>
        <cfvo type="num" val="8"/>
      </iconSet>
    </cfRule>
  </conditionalFormatting>
  <conditionalFormatting sqref="H2:I2 H3:H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I2 H3:H4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num" val="0"/>
        <cfvo type="num" val="100"/>
        <color rgb="FF008000"/>
        <color rgb="FFFF0000"/>
      </colorScale>
    </cfRule>
  </conditionalFormatting>
  <conditionalFormatting sqref="B4">
    <cfRule type="cellIs" dxfId="9" priority="26" operator="equal">
      <formula>#REF!</formula>
    </cfRule>
    <cfRule type="cellIs" dxfId="8" priority="27" operator="equal">
      <formula>#REF!</formula>
    </cfRule>
    <cfRule type="cellIs" dxfId="7" priority="28" operator="equal">
      <formula>#REF!</formula>
    </cfRule>
    <cfRule type="cellIs" dxfId="6" priority="29" operator="equal">
      <formula>#REF!</formula>
    </cfRule>
    <cfRule type="cellIs" dxfId="5" priority="30" operator="equal">
      <formula>#REF!</formula>
    </cfRule>
  </conditionalFormatting>
  <conditionalFormatting sqref="B4">
    <cfRule type="cellIs" dxfId="4" priority="31" operator="equal">
      <formula>#REF!</formula>
    </cfRule>
  </conditionalFormatting>
  <conditionalFormatting sqref="B4">
    <cfRule type="cellIs" dxfId="3" priority="32" operator="equal">
      <formula>#REF!</formula>
    </cfRule>
    <cfRule type="cellIs" dxfId="2" priority="33" operator="equal">
      <formula>#REF!</formula>
    </cfRule>
    <cfRule type="cellIs" dxfId="1" priority="34" operator="equal">
      <formula>#REF!</formula>
    </cfRule>
    <cfRule type="cellIs" dxfId="0" priority="35" operator="equal">
      <formula>#REF!</formula>
    </cfRule>
  </conditionalFormatting>
  <conditionalFormatting sqref="F5">
    <cfRule type="iconSet" priority="19">
      <iconSet iconSet="3TrafficLights2">
        <cfvo type="percent" val="0"/>
        <cfvo type="num" val="0"/>
        <cfvo type="num" val="7"/>
      </iconSet>
    </cfRule>
    <cfRule type="iconSet" priority="20">
      <iconSet>
        <cfvo type="percent" val="0"/>
        <cfvo type="num" val="0"/>
        <cfvo type="num" val="14"/>
      </iconSet>
    </cfRule>
    <cfRule type="iconSet" priority="21">
      <iconSet iconSet="3TrafficLights2">
        <cfvo type="percent" val="0"/>
        <cfvo type="num" val="0"/>
        <cfvo type="num" val="14"/>
      </iconSet>
    </cfRule>
    <cfRule type="iconSet" priority="22">
      <iconSet iconSet="3TrafficLights2">
        <cfvo type="percent" val="0"/>
        <cfvo type="num" val="0"/>
        <cfvo type="num" val="8"/>
      </iconSet>
    </cfRule>
  </conditionalFormatting>
  <conditionalFormatting sqref="H5 K5">
    <cfRule type="colorScale" priority="96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5">
    <cfRule type="colorScale" priority="9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">
    <cfRule type="colorScale" priority="9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6">
      <colorScale>
        <cfvo type="num" val="0"/>
        <cfvo type="num" val="100"/>
        <color rgb="FF008000"/>
        <color rgb="FFFF0000"/>
      </colorScale>
    </cfRule>
  </conditionalFormatting>
  <conditionalFormatting sqref="G6">
    <cfRule type="iconSet" priority="10">
      <iconSet iconSet="3TrafficLights2">
        <cfvo type="percent" val="0"/>
        <cfvo type="num" val="0"/>
        <cfvo type="num" val="7"/>
      </iconSet>
    </cfRule>
    <cfRule type="iconSet" priority="11">
      <iconSet>
        <cfvo type="percent" val="0"/>
        <cfvo type="num" val="0"/>
        <cfvo type="num" val="14"/>
      </iconSet>
    </cfRule>
    <cfRule type="iconSet" priority="12">
      <iconSet iconSet="3TrafficLights2">
        <cfvo type="percent" val="0"/>
        <cfvo type="num" val="0"/>
        <cfvo type="num" val="14"/>
      </iconSet>
    </cfRule>
    <cfRule type="iconSet" priority="13">
      <iconSet iconSet="3TrafficLights2">
        <cfvo type="percent" val="0"/>
        <cfvo type="num" val="0"/>
        <cfvo type="num" val="8"/>
      </iconSet>
    </cfRule>
  </conditionalFormatting>
  <conditionalFormatting sqref="H6 L6">
    <cfRule type="colorScale" priority="96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6">
    <cfRule type="colorScale" priority="9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">
    <cfRule type="colorScale" priority="9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2">
      <colorScale>
        <cfvo type="num" val="0"/>
        <cfvo type="num" val="100"/>
        <color rgb="FF008000"/>
        <color rgb="FFFF0000"/>
      </colorScale>
    </cfRule>
  </conditionalFormatting>
  <conditionalFormatting sqref="H7">
    <cfRule type="colorScale" priority="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0"/>
        <cfvo type="num" val="100"/>
        <color rgb="FF008000"/>
        <color rgb="FFFF0000"/>
      </colorScale>
    </cfRule>
  </conditionalFormatting>
  <conditionalFormatting sqref="H8">
    <cfRule type="colorScale" priority="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num" val="0"/>
        <cfvo type="num" val="100"/>
        <color rgb="FF008000"/>
        <color rgb="FFFF0000"/>
      </colorScale>
    </cfRule>
  </conditionalFormatting>
  <dataValidations count="1">
    <dataValidation type="list" allowBlank="1" showInputMessage="1" showErrorMessage="1" sqref="B5">
      <formula1>$B$38:$B$43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H2:H7"/>
  <sheetViews>
    <sheetView workbookViewId="0">
      <selection activeCell="H3" sqref="H3"/>
    </sheetView>
  </sheetViews>
  <sheetFormatPr defaultRowHeight="15"/>
  <sheetData>
    <row r="2" spans="8:8">
      <c r="H2" s="37" t="s">
        <v>31</v>
      </c>
    </row>
    <row r="3" spans="8:8">
      <c r="H3" t="s">
        <v>32</v>
      </c>
    </row>
    <row r="4" spans="8:8">
      <c r="H4" t="s">
        <v>33</v>
      </c>
    </row>
    <row r="5" spans="8:8">
      <c r="H5" t="s">
        <v>34</v>
      </c>
    </row>
    <row r="6" spans="8:8">
      <c r="H6" t="s">
        <v>35</v>
      </c>
    </row>
    <row r="7" spans="8:8">
      <c r="H7" t="s">
        <v>36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Goals</vt:lpstr>
      <vt:lpstr>Completed Tasks</vt:lpstr>
      <vt:lpstr>Completed Goals</vt:lpstr>
      <vt:lpstr>Legend</vt:lpstr>
    </vt:vector>
  </TitlesOfParts>
  <Company>ModusLink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van den Berg</dc:creator>
  <cp:lastModifiedBy>Ryan</cp:lastModifiedBy>
  <cp:lastPrinted>2012-01-24T12:45:03Z</cp:lastPrinted>
  <dcterms:created xsi:type="dcterms:W3CDTF">2011-11-02T13:57:32Z</dcterms:created>
  <dcterms:modified xsi:type="dcterms:W3CDTF">2016-08-17T16:14:22Z</dcterms:modified>
</cp:coreProperties>
</file>