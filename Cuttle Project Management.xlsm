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1570" windowHeight="8400" tabRatio="603" activeTab="1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Tasks!$A$1:$P$19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F20" i="8" l="1"/>
  <c r="F21" i="8"/>
  <c r="F18" i="8"/>
  <c r="F19" i="8"/>
  <c r="F16" i="8"/>
  <c r="F8" i="8"/>
  <c r="F25" i="8"/>
  <c r="F26" i="8"/>
  <c r="F9" i="8"/>
  <c r="F17" i="8"/>
  <c r="F13" i="8"/>
  <c r="F14" i="8"/>
  <c r="F28" i="8"/>
  <c r="G23" i="8" l="1"/>
  <c r="G20" i="8"/>
  <c r="G21" i="8"/>
  <c r="G22" i="8"/>
  <c r="G18" i="8"/>
  <c r="G6" i="8"/>
  <c r="G5" i="8"/>
  <c r="G7" i="8"/>
  <c r="G19" i="8"/>
  <c r="G16" i="8"/>
  <c r="G24" i="8"/>
  <c r="G8" i="8"/>
  <c r="G25" i="8"/>
  <c r="G26" i="8"/>
  <c r="G27" i="8"/>
  <c r="G9" i="8"/>
  <c r="G17" i="8"/>
  <c r="G10" i="8"/>
  <c r="G11" i="8"/>
  <c r="G13" i="8"/>
  <c r="G14" i="8"/>
  <c r="G15" i="8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8" i="8" l="1"/>
  <c r="G2" i="8" l="1"/>
  <c r="G3" i="8"/>
  <c r="G4" i="8"/>
  <c r="F2" i="8" l="1"/>
  <c r="F4" i="8" l="1"/>
  <c r="F3" i="8"/>
  <c r="C2" i="9"/>
  <c r="C2" i="13"/>
  <c r="F22" i="8"/>
  <c r="F5" i="8"/>
  <c r="S5" i="8"/>
  <c r="F6" i="8"/>
  <c r="S6" i="8"/>
  <c r="F7" i="8"/>
  <c r="S7" i="8"/>
  <c r="S8" i="8"/>
  <c r="S9" i="8"/>
  <c r="F10" i="8"/>
  <c r="S10" i="8"/>
  <c r="F11" i="8"/>
  <c r="S11" i="8"/>
  <c r="F12" i="8"/>
  <c r="S13" i="8"/>
  <c r="S14" i="8"/>
  <c r="F15" i="8"/>
  <c r="S15" i="8"/>
  <c r="F23" i="8"/>
  <c r="F24" i="8"/>
  <c r="F27" i="8"/>
</calcChain>
</file>

<file path=xl/sharedStrings.xml><?xml version="1.0" encoding="utf-8"?>
<sst xmlns="http://schemas.openxmlformats.org/spreadsheetml/2006/main" count="224" uniqueCount="104">
  <si>
    <t>Status</t>
  </si>
  <si>
    <t>Date added</t>
  </si>
  <si>
    <t>Status / update</t>
  </si>
  <si>
    <t>Actual close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</si>
  <si>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</si>
  <si>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</si>
  <si>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</si>
  <si>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</si>
  <si>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</si>
  <si>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</si>
  <si>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</si>
  <si>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</si>
  <si>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</si>
  <si>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</si>
  <si>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</si>
  <si>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</si>
  <si>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</si>
  <si>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</si>
  <si>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</si>
  <si>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</si>
  <si>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</si>
  <si>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</si>
  <si>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</si>
  <si>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</si>
  <si>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</si>
  <si>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</si>
  <si>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</si>
  <si>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</si>
  <si>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</si>
  <si>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</si>
  <si>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</si>
  <si>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</si>
  <si>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</si>
  <si>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</si>
  <si>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</si>
  <si>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</si>
  <si>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</si>
  <si>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</si>
  <si>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</si>
  <si>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</si>
  <si>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</si>
  <si>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</si>
  <si>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</si>
  <si>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Ryan</t>
  </si>
  <si>
    <t>Set up Angular controller with variable to control gameView vs transitionView</t>
  </si>
  <si>
    <t>Front End</t>
  </si>
  <si>
    <t>Goal</t>
  </si>
  <si>
    <t>Route to gameView</t>
  </si>
  <si>
    <t>Tasks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</si>
  <si>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</si>
  <si>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</si>
  <si>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</si>
  <si>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</si>
  <si>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</si>
  <si>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</si>
  <si>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</si>
  <si>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</si>
  <si>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</si>
  <si>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</si>
  <si>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</si>
  <si>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</si>
  <si>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</si>
  <si>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</si>
  <si>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</si>
  <si>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</si>
  <si>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Agenda Optimizations</t>
  </si>
  <si>
    <t>Final Status</t>
  </si>
  <si>
    <t>Date Completed</t>
  </si>
  <si>
    <t>Task</t>
  </si>
  <si>
    <t>For Goal:</t>
  </si>
  <si>
    <t>By:</t>
  </si>
  <si>
    <t>Update goals upon save in this file</t>
  </si>
  <si>
    <t>20/08/16</t>
  </si>
  <si>
    <t>Redo formatting</t>
  </si>
  <si>
    <t>27/08/16</t>
  </si>
  <si>
    <t>Base html for game lobby</t>
  </si>
  <si>
    <t>Create game and add player</t>
  </si>
  <si>
    <t>Rule text in lobby</t>
  </si>
  <si>
    <t>Deal Deck</t>
  </si>
  <si>
    <t>Dealing Code in ready() action</t>
  </si>
  <si>
    <t>Promise API</t>
  </si>
  <si>
    <t>Migrate hooks to services</t>
  </si>
  <si>
    <t>Create service for saveGame()</t>
  </si>
  <si>
    <t>Create service for saveUser()</t>
  </si>
  <si>
    <t>Create service for findCards()</t>
  </si>
  <si>
    <t>Create service for saveCards()</t>
  </si>
  <si>
    <t>Implement new promise use pattern in ready() action</t>
  </si>
  <si>
    <t>3/5</t>
  </si>
  <si>
    <t>0/2</t>
  </si>
  <si>
    <t>27/08/2016</t>
  </si>
  <si>
    <t>Set up ready section (Track who is ready in lobby)</t>
  </si>
  <si>
    <t>Ready() action now has proper use pattern for promises
Still needs code for dealing when all ready</t>
  </si>
  <si>
    <t>Pop Game Method in gameService</t>
  </si>
  <si>
    <t>2708/2016</t>
  </si>
  <si>
    <t>Migrate completed goals</t>
  </si>
  <si>
    <t>Create service for createCard()</t>
  </si>
  <si>
    <t>Can now create card and place it directly in a game's deck with cardService</t>
  </si>
  <si>
    <t>Test this helper</t>
  </si>
  <si>
    <t>Created helper</t>
  </si>
  <si>
    <t>2/4</t>
  </si>
  <si>
    <t>4/8</t>
  </si>
  <si>
    <t>Deck now instantiated, and hands dealt. User sockets updated.</t>
  </si>
  <si>
    <t>1/1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</si>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</sst>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44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0" borderId="0" xfId="0" applyFont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  <xf numFmtId="0" fontId="18" fillId="0" borderId="28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>
      <alignment horizontal="center" vertical="center" wrapText="1"/>
    </xf>
    <xf numFmtId="0" fontId="18" fillId="0" borderId="29" xfId="1" applyNumberFormat="1" applyFont="1" applyFill="1" applyBorder="1" applyAlignment="1">
      <alignment horizontal="center" vertical="center" wrapText="1"/>
    </xf>
    <xf numFmtId="0" fontId="71" fillId="0" borderId="2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9" xfId="1" applyNumberFormat="1" applyFont="1" applyFill="1" applyBorder="1" applyAlignment="1" applyProtection="1">
      <alignment horizontal="center" vertical="center"/>
      <protection locked="0"/>
    </xf>
    <xf numFmtId="9" fontId="18" fillId="0" borderId="29" xfId="1" applyNumberFormat="1" applyFont="1" applyFill="1" applyBorder="1" applyAlignment="1" applyProtection="1">
      <alignment horizontal="left" vertical="top" wrapText="1"/>
      <protection locked="0"/>
    </xf>
    <xf numFmtId="9" fontId="18" fillId="0" borderId="30" xfId="1" applyNumberFormat="1" applyFont="1" applyFill="1" applyBorder="1" applyAlignment="1" applyProtection="1">
      <alignment horizontal="left" vertical="top" wrapText="1"/>
      <protection locked="0"/>
    </xf>
    <xf numFmtId="0" fontId="18" fillId="0" borderId="30" xfId="1" applyFont="1" applyFill="1" applyBorder="1" applyAlignment="1" applyProtection="1">
      <alignment horizontal="left" vertical="top" wrapText="1"/>
      <protection locked="0"/>
    </xf>
    <xf numFmtId="0" fontId="77" fillId="0" borderId="20" xfId="1" applyFont="1" applyFill="1" applyBorder="1" applyAlignment="1" applyProtection="1">
      <alignment horizontal="left" vertical="top" wrapText="1"/>
      <protection locked="0"/>
    </xf>
    <xf numFmtId="200" fontId="18" fillId="0" borderId="11" xfId="2316" applyFont="1" applyBorder="1" applyAlignment="1" applyProtection="1">
      <alignment horizontal="left" vertical="top" wrapText="1"/>
      <protection locked="0"/>
    </xf>
    <xf numFmtId="0" fontId="18" fillId="0" borderId="11" xfId="1" applyFont="1" applyFill="1" applyBorder="1" applyAlignment="1" applyProtection="1">
      <alignment horizontal="left" vertical="top" wrapText="1"/>
      <protection locked="0"/>
    </xf>
    <xf numFmtId="9" fontId="18" fillId="0" borderId="11" xfId="1" applyNumberFormat="1" applyFont="1" applyFill="1" applyBorder="1" applyAlignment="1" applyProtection="1">
      <alignment horizontal="left" vertical="top" wrapText="1"/>
      <protection locked="0"/>
    </xf>
    <xf numFmtId="200" fontId="77" fillId="23" borderId="20" xfId="2464" applyFont="1" applyFill="1" applyBorder="1" applyAlignment="1" applyProtection="1">
      <alignment horizontal="left" vertical="top" wrapText="1"/>
      <protection locked="0"/>
    </xf>
    <xf numFmtId="0" fontId="75" fillId="0" borderId="20" xfId="0" applyFont="1" applyBorder="1" applyAlignment="1" applyProtection="1">
      <alignment horizontal="left" vertical="top" wrapText="1"/>
      <protection locked="0"/>
    </xf>
    <xf numFmtId="0" fontId="75" fillId="0" borderId="1" xfId="0" applyFont="1" applyBorder="1" applyAlignment="1" applyProtection="1">
      <alignment horizontal="center" vertical="center" wrapText="1"/>
      <protection locked="0"/>
    </xf>
    <xf numFmtId="14" fontId="75" fillId="0" borderId="1" xfId="0" applyNumberFormat="1" applyFont="1" applyBorder="1" applyAlignment="1">
      <alignment horizontal="center" vertical="center"/>
    </xf>
    <xf numFmtId="14" fontId="75" fillId="0" borderId="1" xfId="0" applyNumberFormat="1" applyFont="1" applyBorder="1" applyAlignment="1" applyProtection="1">
      <alignment horizontal="center" vertical="center"/>
      <protection locked="0"/>
    </xf>
    <xf numFmtId="0" fontId="72" fillId="0" borderId="1" xfId="0" applyNumberFormat="1" applyFont="1" applyBorder="1" applyAlignment="1" applyProtection="1">
      <alignment horizontal="center" vertical="center"/>
      <protection locked="0"/>
    </xf>
    <xf numFmtId="0" fontId="75" fillId="0" borderId="1" xfId="0" applyFont="1" applyBorder="1" applyAlignment="1" applyProtection="1">
      <alignment horizontal="center" vertical="center"/>
      <protection locked="0"/>
    </xf>
    <xf numFmtId="0" fontId="75" fillId="0" borderId="11" xfId="0" applyFont="1" applyBorder="1" applyAlignment="1" applyProtection="1">
      <alignment horizontal="left" vertical="top" wrapText="1"/>
      <protection locked="0"/>
    </xf>
    <xf numFmtId="0" fontId="75" fillId="23" borderId="1" xfId="0" applyFont="1" applyFill="1" applyBorder="1" applyAlignment="1" applyProtection="1">
      <alignment horizontal="center" vertical="center" wrapText="1"/>
      <protection locked="0"/>
    </xf>
    <xf numFmtId="0" fontId="75" fillId="0" borderId="21" xfId="0" applyFont="1" applyBorder="1" applyAlignment="1" applyProtection="1">
      <alignment horizontal="left" vertical="top" wrapText="1"/>
      <protection locked="0"/>
    </xf>
    <xf numFmtId="0" fontId="75" fillId="0" borderId="22" xfId="0" applyFont="1" applyBorder="1" applyAlignment="1" applyProtection="1">
      <alignment horizontal="center" vertical="center" wrapText="1"/>
      <protection locked="0"/>
    </xf>
    <xf numFmtId="14" fontId="75" fillId="0" borderId="22" xfId="0" applyNumberFormat="1" applyFont="1" applyBorder="1" applyAlignment="1">
      <alignment horizontal="center" vertical="center"/>
    </xf>
    <xf numFmtId="14" fontId="75" fillId="0" borderId="22" xfId="0" applyNumberFormat="1" applyFont="1" applyBorder="1" applyAlignment="1" applyProtection="1">
      <alignment horizontal="center" vertical="center"/>
      <protection locked="0"/>
    </xf>
    <xf numFmtId="0" fontId="72" fillId="0" borderId="22" xfId="0" applyNumberFormat="1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left" vertical="top" wrapText="1"/>
      <protection locked="0"/>
    </xf>
    <xf numFmtId="0" fontId="75" fillId="0" borderId="16" xfId="0" applyFont="1" applyBorder="1" applyAlignment="1" applyProtection="1">
      <alignment horizontal="left" vertical="top" wrapText="1"/>
      <protection locked="0"/>
    </xf>
    <xf numFmtId="0" fontId="18" fillId="0" borderId="20" xfId="1" applyFont="1" applyFill="1" applyBorder="1" applyAlignment="1" applyProtection="1">
      <alignment horizontal="left" vertical="top" wrapText="1"/>
      <protection locked="0"/>
    </xf>
    <xf numFmtId="200" fontId="18" fillId="23" borderId="11" xfId="2464" applyFont="1" applyFill="1" applyBorder="1" applyAlignment="1" applyProtection="1">
      <alignment horizontal="center" vertical="center"/>
      <protection locked="0"/>
    </xf>
    <xf numFmtId="0" fontId="75" fillId="0" borderId="1" xfId="0" applyFont="1" applyBorder="1" applyAlignment="1">
      <alignment wrapText="1"/>
    </xf>
    <xf numFmtId="14" fontId="75" fillId="0" borderId="11" xfId="0" applyNumberFormat="1" applyFont="1" applyBorder="1" applyAlignment="1" applyProtection="1">
      <alignment horizontal="center" vertical="center"/>
      <protection locked="0"/>
    </xf>
    <xf numFmtId="0" fontId="75" fillId="0" borderId="20" xfId="0" applyFont="1" applyBorder="1" applyAlignment="1" applyProtection="1">
      <alignment wrapText="1"/>
      <protection locked="0"/>
    </xf>
    <xf numFmtId="0" fontId="75" fillId="0" borderId="21" xfId="0" applyFont="1" applyBorder="1" applyAlignment="1" applyProtection="1">
      <alignment wrapText="1"/>
      <protection locked="0"/>
    </xf>
    <xf numFmtId="0" fontId="75" fillId="0" borderId="22" xfId="0" applyFont="1" applyBorder="1" applyAlignment="1">
      <alignment wrapText="1"/>
    </xf>
    <xf numFmtId="14" fontId="75" fillId="0" borderId="16" xfId="0" applyNumberFormat="1" applyFont="1" applyBorder="1" applyAlignment="1" applyProtection="1">
      <alignment horizontal="center" vertical="center"/>
      <protection locked="0"/>
    </xf>
    <xf numFmtId="0" fontId="75" fillId="0" borderId="28" xfId="0" applyFont="1" applyBorder="1" applyAlignment="1" applyProtection="1">
      <alignment wrapText="1"/>
      <protection locked="0"/>
    </xf>
    <xf numFmtId="14" fontId="18" fillId="0" borderId="14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0" xfId="1" applyNumberFormat="1" applyFont="1" applyFill="1" applyBorder="1" applyAlignment="1">
      <alignment horizontal="center" vertical="center" wrapText="1"/>
    </xf>
    <xf numFmtId="200" fontId="18" fillId="0" borderId="0" xfId="2316" applyFont="1" applyBorder="1" applyAlignment="1" applyProtection="1">
      <alignment horizontal="left" vertical="top" wrapText="1"/>
      <protection locked="0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7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201"/>
  <sheetViews>
    <sheetView showGridLines="0" topLeftCell="D1" zoomScaleNormal="100" workbookViewId="0">
      <pane ySplit="1" topLeftCell="A17" activePane="bottomLeft" state="frozen"/>
      <selection pane="bottomLeft" activeCell="N23" sqref="N23"/>
    </sheetView>
  </sheetViews>
  <sheetFormatPr defaultRowHeight="23.25"/>
  <cols>
    <col min="1" max="1" width="38" style="30" customWidth="1"/>
    <col min="2" max="2" width="15.42578125" style="36" customWidth="1"/>
    <col min="3" max="3" width="22.140625" style="31" bestFit="1" customWidth="1"/>
    <col min="4" max="4" width="12.42578125" style="31" customWidth="1"/>
    <col min="5" max="5" width="11.5703125" style="32" customWidth="1"/>
    <col min="6" max="6" width="10.28515625" style="31" bestFit="1" customWidth="1"/>
    <col min="7" max="7" width="4.28515625" style="5" customWidth="1"/>
    <col min="8" max="8" width="9.85546875" style="33" customWidth="1"/>
    <col min="9" max="9" width="10.42578125" style="33" customWidth="1"/>
    <col min="10" max="11" width="9.140625" style="33"/>
    <col min="12" max="14" width="37" style="30" customWidth="1"/>
    <col min="15" max="15" width="31.7109375" style="30" customWidth="1"/>
    <col min="16" max="16" width="31.7109375" style="34" hidden="1" customWidth="1"/>
    <col min="17" max="17" width="9.140625" style="34"/>
    <col min="18" max="18" width="28.28515625" style="35" customWidth="1"/>
    <col min="19" max="19" width="12.28515625" style="32" customWidth="1"/>
    <col min="20" max="44" width="9.140625" style="7"/>
    <col min="45" max="16384" width="9.140625" style="3"/>
  </cols>
  <sheetData>
    <row r="1" spans="1:53">
      <c r="A1" s="9" t="s">
        <v>48</v>
      </c>
      <c r="B1" s="9" t="s">
        <v>0</v>
      </c>
      <c r="C1" s="10" t="s">
        <v>46</v>
      </c>
      <c r="D1" s="10" t="s">
        <v>30</v>
      </c>
      <c r="E1" s="11" t="s">
        <v>8</v>
      </c>
      <c r="F1" s="10" t="s">
        <v>67</v>
      </c>
      <c r="G1" s="1"/>
      <c r="H1" s="9" t="s">
        <v>9</v>
      </c>
      <c r="I1" s="9" t="s">
        <v>10</v>
      </c>
      <c r="J1" s="9" t="s">
        <v>12</v>
      </c>
      <c r="K1" s="9" t="s">
        <v>29</v>
      </c>
      <c r="L1" s="9" t="s">
        <v>7</v>
      </c>
      <c r="M1" s="9" t="s">
        <v>37</v>
      </c>
      <c r="N1" s="9" t="s">
        <v>6</v>
      </c>
      <c r="O1" s="9" t="s">
        <v>5</v>
      </c>
      <c r="P1" s="9" t="s">
        <v>2</v>
      </c>
      <c r="Q1" s="12" t="s">
        <v>3</v>
      </c>
      <c r="R1" s="12" t="s">
        <v>18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25</v>
      </c>
      <c r="B2" s="21" t="s">
        <v>13</v>
      </c>
      <c r="C2" s="16"/>
      <c r="D2" s="21" t="s">
        <v>23</v>
      </c>
      <c r="E2" s="15">
        <v>42370</v>
      </c>
      <c r="F2" s="17">
        <f t="shared" ref="F2:F4" ca="1" si="0">G2</f>
        <v>-230</v>
      </c>
      <c r="G2" s="4">
        <f t="shared" ref="G2:G4" ca="1" si="1">E2-TODAY()</f>
        <v>-230</v>
      </c>
      <c r="H2" s="18" t="s">
        <v>11</v>
      </c>
      <c r="I2" s="18"/>
      <c r="J2" s="19">
        <v>60</v>
      </c>
      <c r="K2" s="19"/>
      <c r="L2" s="20" t="s">
        <v>26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20</v>
      </c>
      <c r="B3" s="21" t="s">
        <v>13</v>
      </c>
      <c r="C3" s="16"/>
      <c r="D3" s="21" t="s">
        <v>23</v>
      </c>
      <c r="E3" s="15">
        <v>42370</v>
      </c>
      <c r="F3" s="17">
        <f t="shared" ca="1" si="0"/>
        <v>-230</v>
      </c>
      <c r="G3" s="4">
        <f t="shared" ca="1" si="1"/>
        <v>-230</v>
      </c>
      <c r="H3" s="18" t="s">
        <v>11</v>
      </c>
      <c r="I3" s="18"/>
      <c r="J3" s="19">
        <v>50</v>
      </c>
      <c r="K3" s="19"/>
      <c r="L3" s="20" t="s">
        <v>27</v>
      </c>
      <c r="M3" s="28"/>
      <c r="N3" s="24" t="s">
        <v>28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00" t="s">
        <v>21</v>
      </c>
      <c r="B4" s="101" t="s">
        <v>17</v>
      </c>
      <c r="C4" s="102"/>
      <c r="D4" s="101" t="s">
        <v>22</v>
      </c>
      <c r="E4" s="103">
        <v>42370</v>
      </c>
      <c r="F4" s="104">
        <f t="shared" ca="1" si="0"/>
        <v>-230</v>
      </c>
      <c r="G4" s="105">
        <f t="shared" ca="1" si="1"/>
        <v>-230</v>
      </c>
      <c r="H4" s="106" t="s">
        <v>24</v>
      </c>
      <c r="I4" s="106"/>
      <c r="J4" s="107">
        <v>0</v>
      </c>
      <c r="K4" s="107"/>
      <c r="L4" s="108"/>
      <c r="M4" s="109"/>
      <c r="N4" s="110"/>
      <c r="O4" s="100"/>
      <c r="P4" s="13"/>
      <c r="Q4" s="100"/>
      <c r="R4" s="100"/>
      <c r="S4" s="102">
        <v>42236</v>
      </c>
    </row>
    <row r="5" spans="1:53">
      <c r="A5" s="111" t="s">
        <v>76</v>
      </c>
      <c r="B5" s="14" t="s">
        <v>15</v>
      </c>
      <c r="C5" s="15" t="s">
        <v>52</v>
      </c>
      <c r="D5" s="21" t="s">
        <v>36</v>
      </c>
      <c r="E5" s="16">
        <v>42595</v>
      </c>
      <c r="F5" s="15">
        <f t="shared" ref="F5:F28" ca="1" si="2">IF(J5=100, IF($F5="", NOW(), $F5), "")</f>
        <v>42597.89004027778</v>
      </c>
      <c r="G5" s="4">
        <f t="shared" ref="G5:G11" ca="1" si="3">E5-TODAY()</f>
        <v>-5</v>
      </c>
      <c r="H5" s="18" t="s">
        <v>43</v>
      </c>
      <c r="I5" s="18" t="s">
        <v>41</v>
      </c>
      <c r="J5" s="19">
        <v>100</v>
      </c>
      <c r="K5" s="19"/>
      <c r="L5" s="20"/>
      <c r="M5" s="20"/>
      <c r="N5" s="27"/>
      <c r="O5" s="112"/>
      <c r="P5" s="132"/>
      <c r="Q5" s="13"/>
      <c r="R5" s="74"/>
      <c r="S5" s="141">
        <f ca="1">IF(A5&lt;&gt;"", IF(S5="", NOW(), S5), "")</f>
        <v>42588.502854398146</v>
      </c>
      <c r="T5" s="54"/>
      <c r="U5" s="142"/>
      <c r="V5" s="57"/>
      <c r="W5" s="49"/>
      <c r="X5" s="142"/>
      <c r="Y5" s="58"/>
      <c r="Z5" s="52"/>
      <c r="AA5" s="52"/>
      <c r="AB5" s="53"/>
      <c r="AC5" s="53"/>
      <c r="AD5" s="28"/>
      <c r="AE5" s="28"/>
      <c r="AF5" s="143"/>
      <c r="AG5" s="143"/>
      <c r="AH5" s="24"/>
      <c r="AI5" s="24"/>
      <c r="AJ5" s="49"/>
      <c r="AK5" s="6"/>
      <c r="AL5" s="6"/>
      <c r="AM5" s="6"/>
    </row>
    <row r="6" spans="1:53">
      <c r="A6" s="111" t="s">
        <v>42</v>
      </c>
      <c r="B6" s="14" t="s">
        <v>17</v>
      </c>
      <c r="C6" s="15" t="s">
        <v>52</v>
      </c>
      <c r="D6" s="21" t="s">
        <v>35</v>
      </c>
      <c r="E6" s="16">
        <v>42595</v>
      </c>
      <c r="F6" s="15">
        <f t="shared" ca="1" si="2"/>
        <v>42597.89004027778</v>
      </c>
      <c r="G6" s="4">
        <f t="shared" ca="1" si="3"/>
        <v>-5</v>
      </c>
      <c r="H6" s="18" t="s">
        <v>43</v>
      </c>
      <c r="I6" s="18"/>
      <c r="J6" s="19">
        <v>100</v>
      </c>
      <c r="K6" s="19"/>
      <c r="L6" s="20"/>
      <c r="M6" s="39"/>
      <c r="N6" s="27"/>
      <c r="O6" s="114"/>
      <c r="P6" s="99"/>
      <c r="Q6" s="132"/>
      <c r="R6" s="13"/>
      <c r="S6" s="74">
        <f t="shared" ref="S6:S13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111" t="s">
        <v>75</v>
      </c>
      <c r="B7" s="14" t="s">
        <v>17</v>
      </c>
      <c r="C7" s="15" t="s">
        <v>52</v>
      </c>
      <c r="D7" s="21" t="s">
        <v>35</v>
      </c>
      <c r="E7" s="16">
        <v>42595</v>
      </c>
      <c r="F7" s="15">
        <f t="shared" ca="1" si="2"/>
        <v>42597.89004027778</v>
      </c>
      <c r="G7" s="4">
        <f t="shared" ca="1" si="3"/>
        <v>-5</v>
      </c>
      <c r="H7" s="18" t="s">
        <v>41</v>
      </c>
      <c r="I7" s="18"/>
      <c r="J7" s="19">
        <v>100</v>
      </c>
      <c r="K7" s="19"/>
      <c r="L7" s="20" t="s">
        <v>44</v>
      </c>
      <c r="M7" s="39"/>
      <c r="N7" s="13"/>
      <c r="O7" s="113"/>
      <c r="P7" s="99"/>
      <c r="Q7" s="132"/>
      <c r="R7" s="13"/>
      <c r="S7" s="74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 ht="36">
      <c r="A8" s="111" t="s">
        <v>90</v>
      </c>
      <c r="B8" s="14" t="s">
        <v>17</v>
      </c>
      <c r="C8" s="15" t="s">
        <v>52</v>
      </c>
      <c r="D8" s="21" t="s">
        <v>35</v>
      </c>
      <c r="E8" s="16" t="s">
        <v>89</v>
      </c>
      <c r="F8" s="15" t="str">
        <f t="shared" ca="1" si="2"/>
        <v/>
      </c>
      <c r="G8" s="4" t="e">
        <f t="shared" ca="1" si="3"/>
        <v>#VALUE!</v>
      </c>
      <c r="H8" s="18" t="s">
        <v>41</v>
      </c>
      <c r="I8" s="18"/>
      <c r="J8" s="19">
        <v>0</v>
      </c>
      <c r="K8" s="19"/>
      <c r="L8" s="39"/>
      <c r="M8" s="20"/>
      <c r="N8" s="27"/>
      <c r="O8" s="112"/>
      <c r="P8" s="140"/>
      <c r="Q8" s="132"/>
      <c r="R8" s="13"/>
      <c r="S8" s="74">
        <f t="shared" ca="1" si="4"/>
        <v>42588.549536458333</v>
      </c>
    </row>
    <row r="9" spans="1:53">
      <c r="A9" s="111" t="s">
        <v>77</v>
      </c>
      <c r="B9" s="14" t="s">
        <v>17</v>
      </c>
      <c r="C9" s="15" t="s">
        <v>52</v>
      </c>
      <c r="D9" s="21" t="s">
        <v>35</v>
      </c>
      <c r="E9" s="16" t="s">
        <v>72</v>
      </c>
      <c r="F9" s="15" t="str">
        <f t="shared" ca="1" si="2"/>
        <v/>
      </c>
      <c r="G9" s="4" t="e">
        <f t="shared" ca="1" si="3"/>
        <v>#VALUE!</v>
      </c>
      <c r="H9" s="18" t="s">
        <v>41</v>
      </c>
      <c r="I9" s="18"/>
      <c r="J9" s="19">
        <v>0</v>
      </c>
      <c r="K9" s="19"/>
      <c r="L9" s="20"/>
      <c r="M9" s="20"/>
      <c r="N9" s="27"/>
      <c r="O9" s="112"/>
      <c r="P9" s="140"/>
      <c r="Q9" s="132"/>
      <c r="R9" s="13"/>
      <c r="S9" s="74">
        <f t="shared" ca="1" si="4"/>
        <v>42588.534528124997</v>
      </c>
    </row>
    <row r="10" spans="1:53" ht="36">
      <c r="A10" s="111" t="s">
        <v>82</v>
      </c>
      <c r="B10" s="14" t="s">
        <v>17</v>
      </c>
      <c r="C10" s="15" t="s">
        <v>80</v>
      </c>
      <c r="D10" s="21" t="s">
        <v>35</v>
      </c>
      <c r="E10" s="16" t="s">
        <v>72</v>
      </c>
      <c r="F10" s="15">
        <f t="shared" ca="1" si="2"/>
        <v>42597.89004027778</v>
      </c>
      <c r="G10" s="4" t="e">
        <f t="shared" ca="1" si="3"/>
        <v>#VALUE!</v>
      </c>
      <c r="H10" s="18" t="s">
        <v>43</v>
      </c>
      <c r="I10" s="18"/>
      <c r="J10" s="19">
        <v>100</v>
      </c>
      <c r="K10" s="19"/>
      <c r="L10" s="20"/>
      <c r="M10" s="20"/>
      <c r="N10" s="27"/>
      <c r="O10" s="112"/>
      <c r="P10" s="140"/>
      <c r="Q10" s="132"/>
      <c r="R10" s="13"/>
      <c r="S10" s="74">
        <f t="shared" ca="1" si="4"/>
        <v>42588.536868171293</v>
      </c>
    </row>
    <row r="11" spans="1:53">
      <c r="A11" s="111" t="s">
        <v>83</v>
      </c>
      <c r="B11" s="14" t="s">
        <v>15</v>
      </c>
      <c r="C11" s="15" t="s">
        <v>80</v>
      </c>
      <c r="D11" s="21" t="s">
        <v>35</v>
      </c>
      <c r="E11" s="16" t="s">
        <v>72</v>
      </c>
      <c r="F11" s="15">
        <f t="shared" ca="1" si="2"/>
        <v>42597.89004027778</v>
      </c>
      <c r="G11" s="4" t="e">
        <f t="shared" ca="1" si="3"/>
        <v>#VALUE!</v>
      </c>
      <c r="H11" s="18" t="s">
        <v>43</v>
      </c>
      <c r="I11" s="18"/>
      <c r="J11" s="19">
        <v>100</v>
      </c>
      <c r="K11" s="19"/>
      <c r="L11" s="20"/>
      <c r="M11" s="20"/>
      <c r="N11" s="27"/>
      <c r="O11" s="112"/>
      <c r="P11" s="140"/>
      <c r="Q11" s="132"/>
      <c r="R11" s="13"/>
      <c r="S11" s="74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 ht="36">
      <c r="A12" s="111" t="s">
        <v>95</v>
      </c>
      <c r="B12" s="14" t="s">
        <v>15</v>
      </c>
      <c r="C12" s="15" t="s">
        <v>80</v>
      </c>
      <c r="D12" s="21" t="s">
        <v>35</v>
      </c>
      <c r="E12" s="16">
        <v>42598</v>
      </c>
      <c r="F12" s="15">
        <f t="shared" ca="1" si="2"/>
        <v>42598.856950578702</v>
      </c>
      <c r="G12" s="4"/>
      <c r="H12" s="18" t="s">
        <v>43</v>
      </c>
      <c r="I12" s="18"/>
      <c r="J12" s="19">
        <v>100</v>
      </c>
      <c r="K12" s="19"/>
      <c r="L12" s="20"/>
      <c r="M12" s="20"/>
      <c r="N12" s="27"/>
      <c r="O12" s="112" t="s">
        <v>96</v>
      </c>
      <c r="P12" s="140"/>
      <c r="Q12" s="132"/>
      <c r="R12" s="13"/>
      <c r="S12" s="74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1:53">
      <c r="A13" s="111" t="s">
        <v>84</v>
      </c>
      <c r="B13" s="14" t="s">
        <v>13</v>
      </c>
      <c r="C13" s="15" t="s">
        <v>80</v>
      </c>
      <c r="D13" s="21" t="s">
        <v>35</v>
      </c>
      <c r="E13" s="16" t="s">
        <v>72</v>
      </c>
      <c r="F13" s="15" t="str">
        <f t="shared" ca="1" si="2"/>
        <v/>
      </c>
      <c r="G13" s="4" t="e">
        <f t="shared" ref="G13:G28" ca="1" si="5">E13-TODAY()</f>
        <v>#VALUE!</v>
      </c>
      <c r="H13" s="18" t="s">
        <v>43</v>
      </c>
      <c r="I13" s="18"/>
      <c r="J13" s="19">
        <v>50</v>
      </c>
      <c r="K13" s="19"/>
      <c r="L13" s="20" t="s">
        <v>97</v>
      </c>
      <c r="M13" s="20"/>
      <c r="N13" s="27" t="s">
        <v>98</v>
      </c>
      <c r="O13" s="112"/>
      <c r="P13" s="99"/>
      <c r="Q13" s="132"/>
      <c r="R13" s="13"/>
      <c r="S13" s="74">
        <f t="shared" ca="1" si="4"/>
        <v>42588.53843310185</v>
      </c>
    </row>
    <row r="14" spans="1:53" ht="36">
      <c r="A14" s="111" t="s">
        <v>85</v>
      </c>
      <c r="B14" s="14" t="s">
        <v>17</v>
      </c>
      <c r="C14" s="15" t="s">
        <v>80</v>
      </c>
      <c r="D14" s="21" t="s">
        <v>35</v>
      </c>
      <c r="E14" s="16" t="s">
        <v>72</v>
      </c>
      <c r="F14" s="15" t="str">
        <f t="shared" ca="1" si="2"/>
        <v/>
      </c>
      <c r="G14" s="4" t="e">
        <f t="shared" ca="1" si="5"/>
        <v>#VALUE!</v>
      </c>
      <c r="H14" s="18" t="s">
        <v>43</v>
      </c>
      <c r="I14" s="18"/>
      <c r="J14" s="19">
        <v>0</v>
      </c>
      <c r="K14" s="19"/>
      <c r="L14" s="20"/>
      <c r="M14" s="20"/>
      <c r="N14" s="27"/>
      <c r="O14" s="112"/>
      <c r="P14" s="99"/>
      <c r="Q14" s="132"/>
      <c r="R14" s="13"/>
      <c r="S14" s="74">
        <f t="shared" ref="S14:S15" ca="1" si="6">IF(A14&lt;&gt;"", IF(S14="", NOW(), S14), "")</f>
        <v>42588.553657523145</v>
      </c>
    </row>
    <row r="15" spans="1:53" ht="45">
      <c r="A15" s="111" t="s">
        <v>86</v>
      </c>
      <c r="B15" s="14" t="s">
        <v>15</v>
      </c>
      <c r="C15" s="15" t="s">
        <v>80</v>
      </c>
      <c r="D15" s="21" t="s">
        <v>35</v>
      </c>
      <c r="E15" s="16" t="s">
        <v>72</v>
      </c>
      <c r="F15" s="15">
        <f t="shared" ca="1" si="2"/>
        <v>42597.89004027778</v>
      </c>
      <c r="G15" s="4" t="e">
        <f t="shared" ca="1" si="5"/>
        <v>#VALUE!</v>
      </c>
      <c r="H15" s="18" t="s">
        <v>43</v>
      </c>
      <c r="I15" s="18"/>
      <c r="J15" s="19">
        <v>100</v>
      </c>
      <c r="K15" s="19"/>
      <c r="L15" s="20"/>
      <c r="M15" s="20"/>
      <c r="N15" s="27"/>
      <c r="O15" s="112" t="s">
        <v>91</v>
      </c>
      <c r="P15" s="99"/>
      <c r="Q15" s="132"/>
      <c r="R15" s="13"/>
      <c r="S15" s="74">
        <f t="shared" ca="1" si="6"/>
        <v>42588.556723379632</v>
      </c>
    </row>
    <row r="16" spans="1:53" ht="36">
      <c r="A16" s="111" t="s">
        <v>92</v>
      </c>
      <c r="B16" s="14" t="s">
        <v>16</v>
      </c>
      <c r="C16" s="15" t="s">
        <v>80</v>
      </c>
      <c r="D16" s="21" t="s">
        <v>34</v>
      </c>
      <c r="E16" s="16" t="s">
        <v>93</v>
      </c>
      <c r="F16" s="15" t="str">
        <f t="shared" ca="1" si="2"/>
        <v/>
      </c>
      <c r="G16" s="4" t="e">
        <f t="shared" ca="1" si="5"/>
        <v>#VALUE!</v>
      </c>
      <c r="H16" s="18" t="s">
        <v>43</v>
      </c>
      <c r="I16" s="18"/>
      <c r="J16" s="19">
        <v>0</v>
      </c>
      <c r="K16" s="19"/>
      <c r="L16" s="20"/>
      <c r="M16" s="39"/>
      <c r="N16" s="13"/>
      <c r="O16" s="113"/>
      <c r="P16" s="99"/>
      <c r="Q16" s="132"/>
      <c r="R16" s="13"/>
      <c r="S16" s="133"/>
    </row>
    <row r="17" spans="1:44">
      <c r="A17" s="111" t="s">
        <v>81</v>
      </c>
      <c r="B17" s="14" t="s">
        <v>17</v>
      </c>
      <c r="C17" s="15" t="s">
        <v>80</v>
      </c>
      <c r="D17" s="21" t="s">
        <v>34</v>
      </c>
      <c r="E17" s="16" t="s">
        <v>74</v>
      </c>
      <c r="F17" s="15" t="str">
        <f t="shared" ca="1" si="2"/>
        <v/>
      </c>
      <c r="G17" s="4" t="e">
        <f t="shared" ca="1" si="5"/>
        <v>#VALUE!</v>
      </c>
      <c r="H17" s="18" t="s">
        <v>43</v>
      </c>
      <c r="I17" s="18"/>
      <c r="J17" s="19">
        <v>0</v>
      </c>
      <c r="K17" s="19"/>
      <c r="L17" s="20"/>
      <c r="M17" s="20"/>
      <c r="N17" s="27"/>
      <c r="O17" s="112"/>
      <c r="P17" s="140"/>
      <c r="Q17" s="132"/>
      <c r="R17" s="13"/>
      <c r="S17" s="133"/>
    </row>
    <row r="18" spans="1:44" ht="43.5" customHeight="1">
      <c r="A18" s="111" t="s">
        <v>49</v>
      </c>
      <c r="B18" s="21" t="s">
        <v>17</v>
      </c>
      <c r="C18" s="16" t="s">
        <v>53</v>
      </c>
      <c r="D18" s="16" t="s">
        <v>36</v>
      </c>
      <c r="E18" s="15">
        <v>42595</v>
      </c>
      <c r="F18" s="15" t="str">
        <f t="shared" ca="1" si="2"/>
        <v/>
      </c>
      <c r="G18" s="4">
        <f t="shared" ca="1" si="5"/>
        <v>-5</v>
      </c>
      <c r="H18" s="21" t="s">
        <v>41</v>
      </c>
      <c r="I18" s="21" t="s">
        <v>43</v>
      </c>
      <c r="J18" s="19">
        <v>0</v>
      </c>
      <c r="K18" s="19"/>
      <c r="L18" s="20"/>
      <c r="M18" s="39"/>
      <c r="N18" s="13"/>
      <c r="O18" s="113"/>
      <c r="P18" s="24"/>
      <c r="Q18" s="132"/>
      <c r="R18" s="13"/>
      <c r="S18" s="133"/>
    </row>
    <row r="19" spans="1:44">
      <c r="A19" s="115" t="s">
        <v>47</v>
      </c>
      <c r="B19" s="14" t="s">
        <v>16</v>
      </c>
      <c r="C19" s="15" t="s">
        <v>53</v>
      </c>
      <c r="D19" s="26" t="s">
        <v>33</v>
      </c>
      <c r="E19" s="16"/>
      <c r="F19" s="15" t="str">
        <f t="shared" ca="1" si="2"/>
        <v/>
      </c>
      <c r="G19" s="4">
        <f t="shared" ca="1" si="5"/>
        <v>-42600</v>
      </c>
      <c r="H19" s="18" t="s">
        <v>43</v>
      </c>
      <c r="I19" s="18"/>
      <c r="J19" s="19">
        <v>0</v>
      </c>
      <c r="K19" s="19"/>
      <c r="L19" s="20"/>
      <c r="M19" s="39"/>
      <c r="N19" s="38"/>
      <c r="O19" s="112"/>
      <c r="P19" s="99"/>
      <c r="Q19" s="132"/>
      <c r="R19" s="13"/>
      <c r="S19" s="133"/>
      <c r="AQ19" s="3"/>
      <c r="AR19" s="3"/>
    </row>
    <row r="20" spans="1:44">
      <c r="A20" s="111" t="s">
        <v>38</v>
      </c>
      <c r="B20" s="14" t="s">
        <v>16</v>
      </c>
      <c r="C20" s="15" t="s">
        <v>58</v>
      </c>
      <c r="D20" s="21" t="s">
        <v>33</v>
      </c>
      <c r="E20" s="16"/>
      <c r="F20" s="15" t="str">
        <f t="shared" ca="1" si="2"/>
        <v/>
      </c>
      <c r="G20" s="4">
        <f t="shared" ca="1" si="5"/>
        <v>-42600</v>
      </c>
      <c r="H20" s="18" t="s">
        <v>41</v>
      </c>
      <c r="I20" s="18"/>
      <c r="J20" s="19">
        <v>0</v>
      </c>
      <c r="K20" s="19"/>
      <c r="L20" s="20"/>
      <c r="M20" s="39"/>
      <c r="N20" s="27"/>
      <c r="O20" s="112"/>
      <c r="P20" s="24"/>
      <c r="Q20" s="132"/>
      <c r="R20" s="13"/>
      <c r="S20" s="133"/>
    </row>
    <row r="21" spans="1:44">
      <c r="A21" s="111" t="s">
        <v>39</v>
      </c>
      <c r="B21" s="14" t="s">
        <v>16</v>
      </c>
      <c r="C21" s="25" t="s">
        <v>58</v>
      </c>
      <c r="D21" s="21" t="s">
        <v>33</v>
      </c>
      <c r="E21" s="16"/>
      <c r="F21" s="15" t="str">
        <f t="shared" ca="1" si="2"/>
        <v/>
      </c>
      <c r="G21" s="4">
        <f t="shared" ca="1" si="5"/>
        <v>-42600</v>
      </c>
      <c r="H21" s="18" t="s">
        <v>41</v>
      </c>
      <c r="I21" s="18"/>
      <c r="J21" s="19">
        <v>0</v>
      </c>
      <c r="K21" s="19"/>
      <c r="L21" s="20"/>
      <c r="M21" s="39"/>
      <c r="N21" s="29"/>
      <c r="O21" s="113"/>
      <c r="P21" s="24"/>
      <c r="Q21" s="132"/>
      <c r="R21" s="13"/>
      <c r="S21" s="133"/>
    </row>
    <row r="22" spans="1:44">
      <c r="A22" s="111" t="s">
        <v>40</v>
      </c>
      <c r="B22" s="14" t="s">
        <v>16</v>
      </c>
      <c r="C22" s="25" t="s">
        <v>58</v>
      </c>
      <c r="D22" s="21" t="s">
        <v>33</v>
      </c>
      <c r="E22" s="16"/>
      <c r="F22" s="15" t="str">
        <f t="shared" ca="1" si="2"/>
        <v/>
      </c>
      <c r="G22" s="4">
        <f t="shared" ca="1" si="5"/>
        <v>-42600</v>
      </c>
      <c r="H22" s="18" t="s">
        <v>41</v>
      </c>
      <c r="I22" s="18"/>
      <c r="J22" s="19">
        <v>0</v>
      </c>
      <c r="K22" s="19"/>
      <c r="L22" s="20"/>
      <c r="M22" s="39"/>
      <c r="N22" s="29"/>
      <c r="O22" s="113"/>
      <c r="P22" s="24"/>
      <c r="Q22" s="132"/>
      <c r="R22" s="13"/>
      <c r="S22" s="133"/>
    </row>
    <row r="23" spans="1:44" ht="36">
      <c r="A23" s="111" t="s">
        <v>79</v>
      </c>
      <c r="B23" s="21" t="s">
        <v>15</v>
      </c>
      <c r="C23" s="16" t="s">
        <v>78</v>
      </c>
      <c r="D23" s="21" t="s">
        <v>35</v>
      </c>
      <c r="E23" s="15" t="s">
        <v>89</v>
      </c>
      <c r="F23" s="15">
        <f t="shared" ca="1" si="2"/>
        <v>42600.91031388889</v>
      </c>
      <c r="G23" s="4" t="e">
        <f t="shared" ca="1" si="5"/>
        <v>#VALUE!</v>
      </c>
      <c r="H23" s="18" t="s">
        <v>43</v>
      </c>
      <c r="I23" s="18"/>
      <c r="J23" s="19">
        <v>100</v>
      </c>
      <c r="K23" s="19"/>
      <c r="L23" s="20"/>
      <c r="M23" s="20"/>
      <c r="N23" s="13" t="s">
        <v>101</v>
      </c>
      <c r="O23" s="113"/>
      <c r="P23" s="24"/>
      <c r="Q23" s="132"/>
      <c r="R23" s="13"/>
      <c r="S23" s="133"/>
    </row>
    <row r="24" spans="1:44">
      <c r="A24" s="111" t="s">
        <v>51</v>
      </c>
      <c r="B24" s="14" t="s">
        <v>15</v>
      </c>
      <c r="C24" s="15" t="s">
        <v>65</v>
      </c>
      <c r="D24" s="21" t="s">
        <v>33</v>
      </c>
      <c r="E24" s="16"/>
      <c r="F24" s="15">
        <f t="shared" ca="1" si="2"/>
        <v>42597.89004027778</v>
      </c>
      <c r="G24" s="4">
        <f t="shared" ca="1" si="5"/>
        <v>-42600</v>
      </c>
      <c r="H24" s="18"/>
      <c r="I24" s="18"/>
      <c r="J24" s="19">
        <v>100</v>
      </c>
      <c r="K24" s="19"/>
      <c r="L24" s="20"/>
      <c r="M24" s="20"/>
      <c r="N24" s="27"/>
      <c r="O24" s="112"/>
      <c r="P24" s="24"/>
      <c r="Q24" s="132"/>
      <c r="R24" s="13"/>
      <c r="S24" s="133"/>
    </row>
    <row r="25" spans="1:44" ht="36">
      <c r="A25" s="111" t="s">
        <v>71</v>
      </c>
      <c r="B25" s="14" t="s">
        <v>17</v>
      </c>
      <c r="C25" s="15" t="s">
        <v>65</v>
      </c>
      <c r="D25" s="21" t="s">
        <v>32</v>
      </c>
      <c r="E25" s="16" t="s">
        <v>72</v>
      </c>
      <c r="F25" s="15" t="str">
        <f t="shared" ca="1" si="2"/>
        <v/>
      </c>
      <c r="G25" s="4" t="e">
        <f t="shared" ca="1" si="5"/>
        <v>#VALUE!</v>
      </c>
      <c r="H25" s="18" t="s">
        <v>43</v>
      </c>
      <c r="I25" s="18"/>
      <c r="J25" s="19">
        <v>0</v>
      </c>
      <c r="K25" s="19"/>
      <c r="L25" s="20"/>
      <c r="M25" s="20"/>
      <c r="N25" s="27"/>
      <c r="O25" s="112"/>
      <c r="P25" s="24"/>
      <c r="Q25" s="132"/>
      <c r="R25" s="13"/>
      <c r="S25" s="133"/>
    </row>
    <row r="26" spans="1:44">
      <c r="A26" s="111" t="s">
        <v>94</v>
      </c>
      <c r="B26" s="14" t="s">
        <v>17</v>
      </c>
      <c r="C26" s="15" t="s">
        <v>65</v>
      </c>
      <c r="D26" s="21" t="s">
        <v>32</v>
      </c>
      <c r="E26" s="16" t="s">
        <v>72</v>
      </c>
      <c r="F26" s="15" t="str">
        <f t="shared" ca="1" si="2"/>
        <v/>
      </c>
      <c r="G26" s="4" t="e">
        <f t="shared" ca="1" si="5"/>
        <v>#VALUE!</v>
      </c>
      <c r="H26" s="18" t="s">
        <v>43</v>
      </c>
      <c r="I26" s="18"/>
      <c r="J26" s="19">
        <v>0</v>
      </c>
      <c r="K26" s="19"/>
      <c r="L26" s="20"/>
      <c r="M26" s="20"/>
      <c r="N26" s="27"/>
      <c r="O26" s="112"/>
      <c r="P26" s="140"/>
      <c r="Q26" s="132"/>
      <c r="R26" s="134"/>
      <c r="S26" s="135"/>
    </row>
    <row r="27" spans="1:44">
      <c r="A27" s="111" t="s">
        <v>73</v>
      </c>
      <c r="B27" s="14" t="s">
        <v>15</v>
      </c>
      <c r="C27" s="15" t="s">
        <v>65</v>
      </c>
      <c r="D27" s="21" t="s">
        <v>32</v>
      </c>
      <c r="E27" s="16" t="s">
        <v>74</v>
      </c>
      <c r="F27" s="15">
        <f t="shared" ca="1" si="2"/>
        <v>42597.895147569441</v>
      </c>
      <c r="G27" s="4" t="e">
        <f t="shared" ca="1" si="5"/>
        <v>#VALUE!</v>
      </c>
      <c r="H27" s="18" t="s">
        <v>43</v>
      </c>
      <c r="I27" s="18"/>
      <c r="J27" s="19">
        <v>100</v>
      </c>
      <c r="K27" s="19"/>
      <c r="L27" s="20"/>
      <c r="M27" s="20"/>
      <c r="N27" s="27"/>
      <c r="O27" s="112"/>
      <c r="P27" s="140"/>
      <c r="Q27" s="132"/>
      <c r="R27" s="134"/>
      <c r="S27" s="135"/>
    </row>
    <row r="28" spans="1:44">
      <c r="A28" s="111" t="s">
        <v>50</v>
      </c>
      <c r="B28" s="14" t="s">
        <v>16</v>
      </c>
      <c r="C28" s="25"/>
      <c r="D28" s="21" t="s">
        <v>32</v>
      </c>
      <c r="E28" s="16"/>
      <c r="F28" s="15" t="str">
        <f t="shared" ca="1" si="2"/>
        <v/>
      </c>
      <c r="G28" s="4">
        <f t="shared" ca="1" si="5"/>
        <v>-42600</v>
      </c>
      <c r="H28" s="18" t="s">
        <v>41</v>
      </c>
      <c r="I28" s="18"/>
      <c r="J28" s="19">
        <v>0</v>
      </c>
      <c r="K28" s="19"/>
      <c r="L28" s="20"/>
      <c r="M28" s="39"/>
      <c r="N28" s="29"/>
      <c r="O28" s="113"/>
      <c r="P28" s="99"/>
      <c r="Q28" s="132"/>
      <c r="R28" s="134"/>
      <c r="S28" s="135"/>
    </row>
    <row r="29" spans="1:44">
      <c r="A29" s="111"/>
      <c r="B29" s="14"/>
      <c r="C29" s="15"/>
      <c r="D29" s="21"/>
      <c r="E29" s="16"/>
      <c r="F29" s="15"/>
      <c r="G29" s="4"/>
      <c r="H29" s="18"/>
      <c r="I29" s="18"/>
      <c r="J29" s="19"/>
      <c r="K29" s="19"/>
      <c r="L29" s="20"/>
      <c r="M29" s="20"/>
      <c r="N29" s="27"/>
      <c r="O29" s="112"/>
      <c r="P29" s="99"/>
      <c r="Q29" s="132"/>
      <c r="R29" s="134"/>
      <c r="S29" s="135"/>
    </row>
    <row r="30" spans="1:44">
      <c r="A30" s="111"/>
      <c r="B30" s="14"/>
      <c r="C30" s="15"/>
      <c r="D30" s="21"/>
      <c r="E30" s="16"/>
      <c r="F30" s="15"/>
      <c r="G30" s="4"/>
      <c r="H30" s="18"/>
      <c r="I30" s="18"/>
      <c r="J30" s="19"/>
      <c r="K30" s="19"/>
      <c r="L30" s="20"/>
      <c r="M30" s="20"/>
      <c r="N30" s="27"/>
      <c r="O30" s="112"/>
      <c r="P30" s="99"/>
      <c r="Q30" s="132"/>
      <c r="R30" s="134"/>
      <c r="S30" s="135"/>
    </row>
    <row r="31" spans="1:44">
      <c r="A31" s="111"/>
      <c r="B31" s="14"/>
      <c r="C31" s="15"/>
      <c r="D31" s="21"/>
      <c r="E31" s="16"/>
      <c r="F31" s="15"/>
      <c r="G31" s="4"/>
      <c r="H31" s="18"/>
      <c r="I31" s="18"/>
      <c r="J31" s="19"/>
      <c r="K31" s="19"/>
      <c r="L31" s="20"/>
      <c r="M31" s="20"/>
      <c r="N31" s="27"/>
      <c r="O31" s="112"/>
      <c r="P31" s="99"/>
      <c r="Q31" s="132"/>
      <c r="R31" s="134"/>
      <c r="S31" s="135"/>
    </row>
    <row r="32" spans="1:44">
      <c r="A32" s="111"/>
      <c r="B32" s="14"/>
      <c r="C32" s="15"/>
      <c r="D32" s="21"/>
      <c r="E32" s="16"/>
      <c r="F32" s="15"/>
      <c r="G32" s="4"/>
      <c r="H32" s="18"/>
      <c r="I32" s="18"/>
      <c r="J32" s="19"/>
      <c r="K32" s="19"/>
      <c r="L32" s="20"/>
      <c r="M32" s="20"/>
      <c r="N32" s="27"/>
      <c r="O32" s="112"/>
      <c r="P32" s="99"/>
      <c r="Q32" s="132"/>
      <c r="R32" s="134"/>
      <c r="S32" s="135"/>
    </row>
    <row r="33" spans="1:19">
      <c r="A33" s="111"/>
      <c r="B33" s="14"/>
      <c r="C33" s="15"/>
      <c r="D33" s="21"/>
      <c r="E33" s="16"/>
      <c r="F33" s="15"/>
      <c r="G33" s="4"/>
      <c r="H33" s="18"/>
      <c r="I33" s="18"/>
      <c r="J33" s="19"/>
      <c r="K33" s="19"/>
      <c r="L33" s="20"/>
      <c r="M33" s="20"/>
      <c r="N33" s="27"/>
      <c r="O33" s="112"/>
      <c r="P33" s="99"/>
      <c r="Q33" s="132"/>
      <c r="R33" s="134"/>
      <c r="S33" s="135"/>
    </row>
    <row r="34" spans="1:19">
      <c r="A34" s="111"/>
      <c r="B34" s="14"/>
      <c r="C34" s="15"/>
      <c r="D34" s="21"/>
      <c r="E34" s="16"/>
      <c r="F34" s="15"/>
      <c r="G34" s="4"/>
      <c r="H34" s="18"/>
      <c r="I34" s="18"/>
      <c r="J34" s="19"/>
      <c r="K34" s="19"/>
      <c r="L34" s="20"/>
      <c r="M34" s="20"/>
      <c r="N34" s="27"/>
      <c r="O34" s="112"/>
      <c r="P34" s="99"/>
      <c r="Q34" s="132"/>
      <c r="R34" s="134"/>
      <c r="S34" s="135"/>
    </row>
    <row r="35" spans="1:19">
      <c r="A35" s="116"/>
      <c r="B35" s="117" t="s">
        <v>16</v>
      </c>
      <c r="C35" s="118"/>
      <c r="D35" s="118"/>
      <c r="E35" s="119"/>
      <c r="F35" s="118"/>
      <c r="G35" s="120"/>
      <c r="H35" s="121"/>
      <c r="I35" s="121"/>
      <c r="J35" s="38"/>
      <c r="K35" s="38"/>
      <c r="L35" s="38"/>
      <c r="M35" s="38"/>
      <c r="N35" s="38"/>
      <c r="O35" s="122"/>
      <c r="Q35" s="136"/>
      <c r="R35" s="134"/>
      <c r="S35" s="135"/>
    </row>
    <row r="36" spans="1:19">
      <c r="A36" s="116"/>
      <c r="B36" s="123" t="s">
        <v>17</v>
      </c>
      <c r="C36" s="118"/>
      <c r="D36" s="118"/>
      <c r="E36" s="119"/>
      <c r="F36" s="118"/>
      <c r="G36" s="120"/>
      <c r="H36" s="121"/>
      <c r="I36" s="121"/>
      <c r="J36" s="38"/>
      <c r="K36" s="38"/>
      <c r="L36" s="38"/>
      <c r="M36" s="38"/>
      <c r="N36" s="38"/>
      <c r="O36" s="122"/>
      <c r="Q36" s="136"/>
      <c r="R36" s="134"/>
      <c r="S36" s="135"/>
    </row>
    <row r="37" spans="1:19">
      <c r="A37" s="116"/>
      <c r="B37" s="117" t="s">
        <v>19</v>
      </c>
      <c r="C37" s="118"/>
      <c r="D37" s="118"/>
      <c r="E37" s="119"/>
      <c r="F37" s="118"/>
      <c r="G37" s="120"/>
      <c r="H37" s="121"/>
      <c r="I37" s="121"/>
      <c r="J37" s="38"/>
      <c r="K37" s="38"/>
      <c r="L37" s="38"/>
      <c r="M37" s="38"/>
      <c r="N37" s="38"/>
      <c r="O37" s="122"/>
      <c r="Q37" s="136"/>
      <c r="R37" s="134"/>
      <c r="S37" s="135"/>
    </row>
    <row r="38" spans="1:19">
      <c r="A38" s="116"/>
      <c r="B38" s="123" t="s">
        <v>13</v>
      </c>
      <c r="C38" s="118"/>
      <c r="D38" s="118"/>
      <c r="E38" s="119"/>
      <c r="F38" s="118"/>
      <c r="G38" s="120"/>
      <c r="H38" s="121"/>
      <c r="I38" s="121"/>
      <c r="J38" s="38"/>
      <c r="K38" s="38"/>
      <c r="L38" s="38"/>
      <c r="M38" s="38"/>
      <c r="N38" s="38"/>
      <c r="O38" s="122"/>
      <c r="Q38" s="136"/>
      <c r="R38" s="134"/>
      <c r="S38" s="135"/>
    </row>
    <row r="39" spans="1:19">
      <c r="A39" s="116"/>
      <c r="B39" s="123" t="s">
        <v>14</v>
      </c>
      <c r="C39" s="118"/>
      <c r="D39" s="118"/>
      <c r="E39" s="119"/>
      <c r="F39" s="118"/>
      <c r="G39" s="120"/>
      <c r="H39" s="121"/>
      <c r="I39" s="121"/>
      <c r="J39" s="38"/>
      <c r="K39" s="38"/>
      <c r="L39" s="38"/>
      <c r="M39" s="38"/>
      <c r="N39" s="38"/>
      <c r="O39" s="122"/>
      <c r="Q39" s="136"/>
      <c r="R39" s="134"/>
      <c r="S39" s="135"/>
    </row>
    <row r="40" spans="1:19">
      <c r="A40" s="116"/>
      <c r="B40" s="123" t="s">
        <v>15</v>
      </c>
      <c r="C40" s="118"/>
      <c r="D40" s="118"/>
      <c r="E40" s="119"/>
      <c r="F40" s="118"/>
      <c r="G40" s="120"/>
      <c r="H40" s="121"/>
      <c r="I40" s="121"/>
      <c r="J40" s="38"/>
      <c r="K40" s="38"/>
      <c r="L40" s="38"/>
      <c r="M40" s="38"/>
      <c r="N40" s="38"/>
      <c r="O40" s="122"/>
      <c r="Q40" s="136"/>
      <c r="R40" s="134"/>
      <c r="S40" s="135"/>
    </row>
    <row r="41" spans="1:19">
      <c r="A41" s="116"/>
      <c r="B41" s="117"/>
      <c r="C41" s="118"/>
      <c r="D41" s="118"/>
      <c r="E41" s="119"/>
      <c r="F41" s="118"/>
      <c r="G41" s="120"/>
      <c r="H41" s="121"/>
      <c r="I41" s="121"/>
      <c r="J41" s="38"/>
      <c r="K41" s="38"/>
      <c r="L41" s="38"/>
      <c r="M41" s="38"/>
      <c r="N41" s="38"/>
      <c r="O41" s="122"/>
      <c r="Q41" s="136"/>
      <c r="R41" s="134"/>
      <c r="S41" s="135"/>
    </row>
    <row r="42" spans="1:19">
      <c r="A42" s="116"/>
      <c r="B42" s="123" t="s">
        <v>4</v>
      </c>
      <c r="C42" s="118"/>
      <c r="D42" s="118"/>
      <c r="E42" s="119"/>
      <c r="F42" s="118"/>
      <c r="G42" s="120"/>
      <c r="H42" s="121"/>
      <c r="I42" s="121"/>
      <c r="J42" s="38"/>
      <c r="K42" s="38"/>
      <c r="L42" s="38"/>
      <c r="M42" s="38"/>
      <c r="N42" s="38"/>
      <c r="O42" s="122"/>
      <c r="Q42" s="136"/>
      <c r="R42" s="134"/>
      <c r="S42" s="135"/>
    </row>
    <row r="43" spans="1:19">
      <c r="A43" s="116"/>
      <c r="B43" s="123" t="s">
        <v>4</v>
      </c>
      <c r="C43" s="118"/>
      <c r="D43" s="118"/>
      <c r="E43" s="119"/>
      <c r="F43" s="118"/>
      <c r="G43" s="120"/>
      <c r="H43" s="121"/>
      <c r="I43" s="121"/>
      <c r="J43" s="38"/>
      <c r="K43" s="38"/>
      <c r="L43" s="38"/>
      <c r="M43" s="38"/>
      <c r="N43" s="38"/>
      <c r="O43" s="122"/>
      <c r="Q43" s="136"/>
      <c r="R43" s="134"/>
      <c r="S43" s="135"/>
    </row>
    <row r="44" spans="1:19">
      <c r="A44" s="116"/>
      <c r="B44" s="123"/>
      <c r="C44" s="118"/>
      <c r="D44" s="118"/>
      <c r="E44" s="119"/>
      <c r="F44" s="118"/>
      <c r="G44" s="120"/>
      <c r="H44" s="121"/>
      <c r="I44" s="121"/>
      <c r="J44" s="38"/>
      <c r="K44" s="38"/>
      <c r="L44" s="38"/>
      <c r="M44" s="38"/>
      <c r="N44" s="38"/>
      <c r="O44" s="122"/>
      <c r="Q44" s="136"/>
      <c r="R44" s="134"/>
      <c r="S44" s="135"/>
    </row>
    <row r="45" spans="1:19">
      <c r="A45" s="116"/>
      <c r="B45" s="123"/>
      <c r="C45" s="118"/>
      <c r="D45" s="118"/>
      <c r="E45" s="119"/>
      <c r="F45" s="118"/>
      <c r="G45" s="120"/>
      <c r="H45" s="121"/>
      <c r="I45" s="121"/>
      <c r="J45" s="38"/>
      <c r="K45" s="38"/>
      <c r="L45" s="38"/>
      <c r="M45" s="38"/>
      <c r="N45" s="38"/>
      <c r="O45" s="122"/>
      <c r="Q45" s="136"/>
      <c r="R45" s="134"/>
      <c r="S45" s="135"/>
    </row>
    <row r="46" spans="1:19">
      <c r="A46" s="116"/>
      <c r="B46" s="117"/>
      <c r="C46" s="118"/>
      <c r="D46" s="118"/>
      <c r="E46" s="119"/>
      <c r="F46" s="118"/>
      <c r="G46" s="120"/>
      <c r="H46" s="121"/>
      <c r="I46" s="121"/>
      <c r="J46" s="38"/>
      <c r="K46" s="38"/>
      <c r="L46" s="38"/>
      <c r="M46" s="38"/>
      <c r="N46" s="38"/>
      <c r="O46" s="122"/>
      <c r="Q46" s="136"/>
      <c r="R46" s="134"/>
      <c r="S46" s="135"/>
    </row>
    <row r="47" spans="1:19">
      <c r="A47" s="116"/>
      <c r="B47" s="117"/>
      <c r="C47" s="118"/>
      <c r="D47" s="118"/>
      <c r="E47" s="119"/>
      <c r="F47" s="118"/>
      <c r="G47" s="120"/>
      <c r="H47" s="121"/>
      <c r="I47" s="121"/>
      <c r="J47" s="38"/>
      <c r="K47" s="38"/>
      <c r="L47" s="38"/>
      <c r="M47" s="38"/>
      <c r="N47" s="38"/>
      <c r="O47" s="122"/>
      <c r="Q47" s="136"/>
      <c r="R47" s="134"/>
      <c r="S47" s="135"/>
    </row>
    <row r="48" spans="1:19">
      <c r="A48" s="116"/>
      <c r="B48" s="117"/>
      <c r="C48" s="118"/>
      <c r="D48" s="118"/>
      <c r="E48" s="119"/>
      <c r="F48" s="118"/>
      <c r="G48" s="120"/>
      <c r="H48" s="121"/>
      <c r="I48" s="121"/>
      <c r="J48" s="38"/>
      <c r="K48" s="38"/>
      <c r="L48" s="38"/>
      <c r="M48" s="38"/>
      <c r="N48" s="38"/>
      <c r="O48" s="122"/>
      <c r="Q48" s="136"/>
      <c r="R48" s="134"/>
      <c r="S48" s="135"/>
    </row>
    <row r="49" spans="1:19">
      <c r="A49" s="116"/>
      <c r="B49" s="117"/>
      <c r="C49" s="118"/>
      <c r="D49" s="118"/>
      <c r="E49" s="119"/>
      <c r="F49" s="118"/>
      <c r="G49" s="120"/>
      <c r="H49" s="121"/>
      <c r="I49" s="121"/>
      <c r="J49" s="38"/>
      <c r="K49" s="38"/>
      <c r="L49" s="38"/>
      <c r="M49" s="38"/>
      <c r="N49" s="38"/>
      <c r="O49" s="122"/>
      <c r="Q49" s="136"/>
      <c r="R49" s="134"/>
      <c r="S49" s="135"/>
    </row>
    <row r="50" spans="1:19">
      <c r="A50" s="116"/>
      <c r="B50" s="117"/>
      <c r="C50" s="118"/>
      <c r="D50" s="118"/>
      <c r="E50" s="119"/>
      <c r="F50" s="118"/>
      <c r="G50" s="120"/>
      <c r="H50" s="121"/>
      <c r="I50" s="121"/>
      <c r="J50" s="38"/>
      <c r="K50" s="38"/>
      <c r="L50" s="38"/>
      <c r="M50" s="38"/>
      <c r="N50" s="38"/>
      <c r="O50" s="122"/>
      <c r="Q50" s="136"/>
      <c r="R50" s="134"/>
      <c r="S50" s="135"/>
    </row>
    <row r="51" spans="1:19">
      <c r="A51" s="116"/>
      <c r="B51" s="117"/>
      <c r="C51" s="118"/>
      <c r="D51" s="118"/>
      <c r="E51" s="119"/>
      <c r="F51" s="118"/>
      <c r="G51" s="120"/>
      <c r="H51" s="121"/>
      <c r="I51" s="121"/>
      <c r="J51" s="121"/>
      <c r="K51" s="121"/>
      <c r="L51" s="38"/>
      <c r="M51" s="38"/>
      <c r="N51" s="38"/>
      <c r="O51" s="122"/>
      <c r="Q51" s="136"/>
      <c r="R51" s="134"/>
      <c r="S51" s="135"/>
    </row>
    <row r="52" spans="1:19">
      <c r="A52" s="116"/>
      <c r="B52" s="117"/>
      <c r="C52" s="118"/>
      <c r="D52" s="118"/>
      <c r="E52" s="119"/>
      <c r="F52" s="118"/>
      <c r="G52" s="120"/>
      <c r="H52" s="121"/>
      <c r="I52" s="121"/>
      <c r="J52" s="121"/>
      <c r="K52" s="121"/>
      <c r="L52" s="38"/>
      <c r="M52" s="38"/>
      <c r="N52" s="38"/>
      <c r="O52" s="122"/>
      <c r="Q52" s="136"/>
      <c r="R52" s="134"/>
      <c r="S52" s="135"/>
    </row>
    <row r="53" spans="1:19">
      <c r="A53" s="116"/>
      <c r="B53" s="117"/>
      <c r="C53" s="118"/>
      <c r="D53" s="118"/>
      <c r="E53" s="119"/>
      <c r="F53" s="118"/>
      <c r="G53" s="120"/>
      <c r="H53" s="121"/>
      <c r="I53" s="121"/>
      <c r="J53" s="121"/>
      <c r="K53" s="121"/>
      <c r="L53" s="38"/>
      <c r="M53" s="38"/>
      <c r="N53" s="38"/>
      <c r="O53" s="122"/>
      <c r="Q53" s="136"/>
      <c r="R53" s="134"/>
      <c r="S53" s="135"/>
    </row>
    <row r="54" spans="1:19">
      <c r="A54" s="116"/>
      <c r="B54" s="117"/>
      <c r="C54" s="118"/>
      <c r="D54" s="118"/>
      <c r="E54" s="119"/>
      <c r="F54" s="118"/>
      <c r="G54" s="120"/>
      <c r="H54" s="121"/>
      <c r="I54" s="121"/>
      <c r="J54" s="121"/>
      <c r="K54" s="121"/>
      <c r="L54" s="38"/>
      <c r="M54" s="38"/>
      <c r="N54" s="38"/>
      <c r="O54" s="122"/>
      <c r="Q54" s="136"/>
      <c r="R54" s="134"/>
      <c r="S54" s="135"/>
    </row>
    <row r="55" spans="1:19">
      <c r="A55" s="116"/>
      <c r="B55" s="117"/>
      <c r="C55" s="118"/>
      <c r="D55" s="118"/>
      <c r="E55" s="119"/>
      <c r="F55" s="118"/>
      <c r="G55" s="120"/>
      <c r="H55" s="121"/>
      <c r="I55" s="121"/>
      <c r="J55" s="121"/>
      <c r="K55" s="121"/>
      <c r="L55" s="38"/>
      <c r="M55" s="38"/>
      <c r="N55" s="38"/>
      <c r="O55" s="122"/>
      <c r="Q55" s="136"/>
      <c r="R55" s="134"/>
      <c r="S55" s="135"/>
    </row>
    <row r="56" spans="1:19">
      <c r="A56" s="116"/>
      <c r="B56" s="117"/>
      <c r="C56" s="118"/>
      <c r="D56" s="118"/>
      <c r="E56" s="119"/>
      <c r="F56" s="118"/>
      <c r="G56" s="120"/>
      <c r="H56" s="121"/>
      <c r="I56" s="121"/>
      <c r="J56" s="121"/>
      <c r="K56" s="121"/>
      <c r="L56" s="38"/>
      <c r="M56" s="38"/>
      <c r="N56" s="38"/>
      <c r="O56" s="122"/>
      <c r="Q56" s="136"/>
      <c r="R56" s="134"/>
      <c r="S56" s="135"/>
    </row>
    <row r="57" spans="1:19">
      <c r="A57" s="116"/>
      <c r="B57" s="117"/>
      <c r="C57" s="118"/>
      <c r="D57" s="118"/>
      <c r="E57" s="119"/>
      <c r="F57" s="118"/>
      <c r="G57" s="120"/>
      <c r="H57" s="121"/>
      <c r="I57" s="121"/>
      <c r="J57" s="121"/>
      <c r="K57" s="121"/>
      <c r="L57" s="38"/>
      <c r="M57" s="38"/>
      <c r="N57" s="38"/>
      <c r="O57" s="122"/>
      <c r="Q57" s="136"/>
      <c r="R57" s="134"/>
      <c r="S57" s="135"/>
    </row>
    <row r="58" spans="1:19">
      <c r="A58" s="116"/>
      <c r="B58" s="117"/>
      <c r="C58" s="118"/>
      <c r="D58" s="118"/>
      <c r="E58" s="119"/>
      <c r="F58" s="118"/>
      <c r="G58" s="120"/>
      <c r="H58" s="121"/>
      <c r="I58" s="121"/>
      <c r="J58" s="121"/>
      <c r="K58" s="121"/>
      <c r="L58" s="38"/>
      <c r="M58" s="38"/>
      <c r="N58" s="38"/>
      <c r="O58" s="122"/>
      <c r="Q58" s="136"/>
      <c r="R58" s="134"/>
      <c r="S58" s="135"/>
    </row>
    <row r="59" spans="1:19">
      <c r="A59" s="116"/>
      <c r="B59" s="117"/>
      <c r="C59" s="118"/>
      <c r="D59" s="118"/>
      <c r="E59" s="119"/>
      <c r="F59" s="118"/>
      <c r="G59" s="120"/>
      <c r="H59" s="121"/>
      <c r="I59" s="121"/>
      <c r="J59" s="121"/>
      <c r="K59" s="121"/>
      <c r="L59" s="38"/>
      <c r="M59" s="38"/>
      <c r="N59" s="38"/>
      <c r="O59" s="122"/>
      <c r="Q59" s="136"/>
      <c r="R59" s="134"/>
      <c r="S59" s="135"/>
    </row>
    <row r="60" spans="1:19">
      <c r="A60" s="116"/>
      <c r="B60" s="117"/>
      <c r="C60" s="118"/>
      <c r="D60" s="118"/>
      <c r="E60" s="119"/>
      <c r="F60" s="118"/>
      <c r="G60" s="120"/>
      <c r="H60" s="121"/>
      <c r="I60" s="121"/>
      <c r="J60" s="121"/>
      <c r="K60" s="121"/>
      <c r="L60" s="38"/>
      <c r="M60" s="38"/>
      <c r="N60" s="38"/>
      <c r="O60" s="122"/>
      <c r="Q60" s="136"/>
      <c r="R60" s="134"/>
      <c r="S60" s="135"/>
    </row>
    <row r="61" spans="1:19">
      <c r="A61" s="116"/>
      <c r="B61" s="117"/>
      <c r="C61" s="118"/>
      <c r="D61" s="118"/>
      <c r="E61" s="119"/>
      <c r="F61" s="118"/>
      <c r="G61" s="120"/>
      <c r="H61" s="121"/>
      <c r="I61" s="121"/>
      <c r="J61" s="121"/>
      <c r="K61" s="121"/>
      <c r="L61" s="38"/>
      <c r="M61" s="38"/>
      <c r="N61" s="38"/>
      <c r="O61" s="122"/>
      <c r="Q61" s="136"/>
      <c r="R61" s="134"/>
      <c r="S61" s="135"/>
    </row>
    <row r="62" spans="1:19">
      <c r="A62" s="116"/>
      <c r="B62" s="117"/>
      <c r="C62" s="118"/>
      <c r="D62" s="118"/>
      <c r="E62" s="119"/>
      <c r="F62" s="118"/>
      <c r="G62" s="120"/>
      <c r="H62" s="121"/>
      <c r="I62" s="121"/>
      <c r="J62" s="121"/>
      <c r="K62" s="121"/>
      <c r="L62" s="38"/>
      <c r="M62" s="38"/>
      <c r="N62" s="38"/>
      <c r="O62" s="122"/>
      <c r="Q62" s="136"/>
      <c r="R62" s="134"/>
      <c r="S62" s="135"/>
    </row>
    <row r="63" spans="1:19">
      <c r="A63" s="116"/>
      <c r="B63" s="117"/>
      <c r="C63" s="118"/>
      <c r="D63" s="118"/>
      <c r="E63" s="119"/>
      <c r="F63" s="118"/>
      <c r="G63" s="120"/>
      <c r="H63" s="121"/>
      <c r="I63" s="121"/>
      <c r="J63" s="121"/>
      <c r="K63" s="121"/>
      <c r="L63" s="38"/>
      <c r="M63" s="38"/>
      <c r="N63" s="38"/>
      <c r="O63" s="122"/>
      <c r="Q63" s="136"/>
      <c r="R63" s="134"/>
      <c r="S63" s="135"/>
    </row>
    <row r="64" spans="1:19">
      <c r="A64" s="116"/>
      <c r="B64" s="117"/>
      <c r="C64" s="118"/>
      <c r="D64" s="118"/>
      <c r="E64" s="119"/>
      <c r="F64" s="118"/>
      <c r="G64" s="120"/>
      <c r="H64" s="121"/>
      <c r="I64" s="121"/>
      <c r="J64" s="121"/>
      <c r="K64" s="121"/>
      <c r="L64" s="38"/>
      <c r="M64" s="38"/>
      <c r="N64" s="38"/>
      <c r="O64" s="122"/>
      <c r="Q64" s="136"/>
      <c r="R64" s="134"/>
      <c r="S64" s="135"/>
    </row>
    <row r="65" spans="1:19">
      <c r="A65" s="116"/>
      <c r="B65" s="117"/>
      <c r="C65" s="118"/>
      <c r="D65" s="118"/>
      <c r="E65" s="119"/>
      <c r="F65" s="118"/>
      <c r="G65" s="120"/>
      <c r="H65" s="121"/>
      <c r="I65" s="121"/>
      <c r="J65" s="121"/>
      <c r="K65" s="121"/>
      <c r="L65" s="38"/>
      <c r="M65" s="38"/>
      <c r="N65" s="38"/>
      <c r="O65" s="122"/>
      <c r="Q65" s="136"/>
      <c r="R65" s="134"/>
      <c r="S65" s="135"/>
    </row>
    <row r="66" spans="1:19">
      <c r="A66" s="116"/>
      <c r="B66" s="117"/>
      <c r="C66" s="118"/>
      <c r="D66" s="118"/>
      <c r="E66" s="119"/>
      <c r="F66" s="118"/>
      <c r="G66" s="120"/>
      <c r="H66" s="121"/>
      <c r="I66" s="121"/>
      <c r="J66" s="121"/>
      <c r="K66" s="121"/>
      <c r="L66" s="38"/>
      <c r="M66" s="38"/>
      <c r="N66" s="38"/>
      <c r="O66" s="122"/>
      <c r="Q66" s="136"/>
      <c r="R66" s="134"/>
      <c r="S66" s="135"/>
    </row>
    <row r="67" spans="1:19">
      <c r="A67" s="116"/>
      <c r="B67" s="117"/>
      <c r="C67" s="118"/>
      <c r="D67" s="118"/>
      <c r="E67" s="119"/>
      <c r="F67" s="118"/>
      <c r="G67" s="120"/>
      <c r="H67" s="121"/>
      <c r="I67" s="121"/>
      <c r="J67" s="121"/>
      <c r="K67" s="121"/>
      <c r="L67" s="38"/>
      <c r="M67" s="38"/>
      <c r="N67" s="38"/>
      <c r="O67" s="122"/>
      <c r="Q67" s="136"/>
      <c r="R67" s="134"/>
      <c r="S67" s="135"/>
    </row>
    <row r="68" spans="1:19">
      <c r="A68" s="116"/>
      <c r="B68" s="117"/>
      <c r="C68" s="118"/>
      <c r="D68" s="118"/>
      <c r="E68" s="119"/>
      <c r="F68" s="118"/>
      <c r="G68" s="120"/>
      <c r="H68" s="121"/>
      <c r="I68" s="121"/>
      <c r="J68" s="121"/>
      <c r="K68" s="121"/>
      <c r="L68" s="38"/>
      <c r="M68" s="38"/>
      <c r="N68" s="38"/>
      <c r="O68" s="122"/>
      <c r="Q68" s="136"/>
      <c r="R68" s="134"/>
      <c r="S68" s="135"/>
    </row>
    <row r="69" spans="1:19">
      <c r="A69" s="116"/>
      <c r="B69" s="117"/>
      <c r="C69" s="118"/>
      <c r="D69" s="118"/>
      <c r="E69" s="119"/>
      <c r="F69" s="118"/>
      <c r="G69" s="120"/>
      <c r="H69" s="121"/>
      <c r="I69" s="121"/>
      <c r="J69" s="121"/>
      <c r="K69" s="121"/>
      <c r="L69" s="38"/>
      <c r="M69" s="38"/>
      <c r="N69" s="38"/>
      <c r="O69" s="122"/>
      <c r="Q69" s="136"/>
      <c r="R69" s="134"/>
      <c r="S69" s="135"/>
    </row>
    <row r="70" spans="1:19">
      <c r="A70" s="116"/>
      <c r="B70" s="117"/>
      <c r="C70" s="118"/>
      <c r="D70" s="118"/>
      <c r="E70" s="119"/>
      <c r="F70" s="118"/>
      <c r="G70" s="120"/>
      <c r="H70" s="121"/>
      <c r="I70" s="121"/>
      <c r="J70" s="121"/>
      <c r="K70" s="121"/>
      <c r="L70" s="38"/>
      <c r="M70" s="38"/>
      <c r="N70" s="38"/>
      <c r="O70" s="122"/>
      <c r="Q70" s="136"/>
      <c r="R70" s="134"/>
      <c r="S70" s="135"/>
    </row>
    <row r="71" spans="1:19">
      <c r="A71" s="116"/>
      <c r="B71" s="117"/>
      <c r="C71" s="118"/>
      <c r="D71" s="118"/>
      <c r="E71" s="119"/>
      <c r="F71" s="118"/>
      <c r="G71" s="120"/>
      <c r="H71" s="121"/>
      <c r="I71" s="121"/>
      <c r="J71" s="121"/>
      <c r="K71" s="121"/>
      <c r="L71" s="38"/>
      <c r="M71" s="38"/>
      <c r="N71" s="38"/>
      <c r="O71" s="122"/>
      <c r="Q71" s="136"/>
      <c r="R71" s="134"/>
      <c r="S71" s="135"/>
    </row>
    <row r="72" spans="1:19">
      <c r="A72" s="116"/>
      <c r="B72" s="117"/>
      <c r="C72" s="118"/>
      <c r="D72" s="118"/>
      <c r="E72" s="119"/>
      <c r="F72" s="118"/>
      <c r="G72" s="120"/>
      <c r="H72" s="121"/>
      <c r="I72" s="121"/>
      <c r="J72" s="121"/>
      <c r="K72" s="121"/>
      <c r="L72" s="38"/>
      <c r="M72" s="38"/>
      <c r="N72" s="38"/>
      <c r="O72" s="122"/>
      <c r="Q72" s="136"/>
      <c r="R72" s="134"/>
      <c r="S72" s="135"/>
    </row>
    <row r="73" spans="1:19">
      <c r="A73" s="116"/>
      <c r="B73" s="117"/>
      <c r="C73" s="118"/>
      <c r="D73" s="118"/>
      <c r="E73" s="119"/>
      <c r="F73" s="118"/>
      <c r="G73" s="120"/>
      <c r="H73" s="121"/>
      <c r="I73" s="121"/>
      <c r="J73" s="121"/>
      <c r="K73" s="121"/>
      <c r="L73" s="38"/>
      <c r="M73" s="38"/>
      <c r="N73" s="38"/>
      <c r="O73" s="122"/>
      <c r="Q73" s="136"/>
      <c r="R73" s="134"/>
      <c r="S73" s="135"/>
    </row>
    <row r="74" spans="1:19">
      <c r="A74" s="116"/>
      <c r="B74" s="117"/>
      <c r="C74" s="118"/>
      <c r="D74" s="118"/>
      <c r="E74" s="119"/>
      <c r="F74" s="118"/>
      <c r="G74" s="120"/>
      <c r="H74" s="121"/>
      <c r="I74" s="121"/>
      <c r="J74" s="121"/>
      <c r="K74" s="121"/>
      <c r="L74" s="38"/>
      <c r="M74" s="38"/>
      <c r="N74" s="38"/>
      <c r="O74" s="122"/>
      <c r="Q74" s="136"/>
      <c r="R74" s="134"/>
      <c r="S74" s="135"/>
    </row>
    <row r="75" spans="1:19">
      <c r="A75" s="116"/>
      <c r="B75" s="117"/>
      <c r="C75" s="118"/>
      <c r="D75" s="118"/>
      <c r="E75" s="119"/>
      <c r="F75" s="118"/>
      <c r="G75" s="120"/>
      <c r="H75" s="121"/>
      <c r="I75" s="121"/>
      <c r="J75" s="121"/>
      <c r="K75" s="121"/>
      <c r="L75" s="38"/>
      <c r="M75" s="38"/>
      <c r="N75" s="38"/>
      <c r="O75" s="122"/>
      <c r="Q75" s="136"/>
      <c r="R75" s="134"/>
      <c r="S75" s="135"/>
    </row>
    <row r="76" spans="1:19">
      <c r="A76" s="116"/>
      <c r="B76" s="117"/>
      <c r="C76" s="118"/>
      <c r="D76" s="118"/>
      <c r="E76" s="119"/>
      <c r="F76" s="118"/>
      <c r="G76" s="120"/>
      <c r="H76" s="121"/>
      <c r="I76" s="121"/>
      <c r="J76" s="121"/>
      <c r="K76" s="121"/>
      <c r="L76" s="38"/>
      <c r="M76" s="38"/>
      <c r="N76" s="38"/>
      <c r="O76" s="122"/>
      <c r="Q76" s="136"/>
      <c r="R76" s="134"/>
      <c r="S76" s="135"/>
    </row>
    <row r="77" spans="1:19">
      <c r="A77" s="116"/>
      <c r="B77" s="117"/>
      <c r="C77" s="118"/>
      <c r="D77" s="118"/>
      <c r="E77" s="119"/>
      <c r="F77" s="118"/>
      <c r="G77" s="120"/>
      <c r="H77" s="121"/>
      <c r="I77" s="121"/>
      <c r="J77" s="121"/>
      <c r="K77" s="121"/>
      <c r="L77" s="38"/>
      <c r="M77" s="38"/>
      <c r="N77" s="38"/>
      <c r="O77" s="122"/>
      <c r="Q77" s="136"/>
      <c r="R77" s="134"/>
      <c r="S77" s="135"/>
    </row>
    <row r="78" spans="1:19">
      <c r="A78" s="116"/>
      <c r="B78" s="117"/>
      <c r="C78" s="118"/>
      <c r="D78" s="118"/>
      <c r="E78" s="119"/>
      <c r="F78" s="118"/>
      <c r="G78" s="120"/>
      <c r="H78" s="121"/>
      <c r="I78" s="121"/>
      <c r="J78" s="121"/>
      <c r="K78" s="121"/>
      <c r="L78" s="38"/>
      <c r="M78" s="38"/>
      <c r="N78" s="38"/>
      <c r="O78" s="122"/>
      <c r="Q78" s="136"/>
      <c r="R78" s="134"/>
      <c r="S78" s="135"/>
    </row>
    <row r="79" spans="1:19">
      <c r="A79" s="116"/>
      <c r="B79" s="117"/>
      <c r="C79" s="118"/>
      <c r="D79" s="118"/>
      <c r="E79" s="119"/>
      <c r="F79" s="118"/>
      <c r="G79" s="120"/>
      <c r="H79" s="121"/>
      <c r="I79" s="121"/>
      <c r="J79" s="121"/>
      <c r="K79" s="121"/>
      <c r="L79" s="38"/>
      <c r="M79" s="38"/>
      <c r="N79" s="38"/>
      <c r="O79" s="122"/>
      <c r="Q79" s="136"/>
      <c r="R79" s="134"/>
      <c r="S79" s="135"/>
    </row>
    <row r="80" spans="1:19">
      <c r="A80" s="116"/>
      <c r="B80" s="117"/>
      <c r="C80" s="118"/>
      <c r="D80" s="118"/>
      <c r="E80" s="119"/>
      <c r="F80" s="118"/>
      <c r="G80" s="120"/>
      <c r="H80" s="121"/>
      <c r="I80" s="121"/>
      <c r="J80" s="121"/>
      <c r="K80" s="121"/>
      <c r="L80" s="38"/>
      <c r="M80" s="38"/>
      <c r="N80" s="38"/>
      <c r="O80" s="122"/>
      <c r="Q80" s="136"/>
      <c r="R80" s="134"/>
      <c r="S80" s="135"/>
    </row>
    <row r="81" spans="1:19">
      <c r="A81" s="116"/>
      <c r="B81" s="117"/>
      <c r="C81" s="118"/>
      <c r="D81" s="118"/>
      <c r="E81" s="119"/>
      <c r="F81" s="118"/>
      <c r="G81" s="120"/>
      <c r="H81" s="121"/>
      <c r="I81" s="121"/>
      <c r="J81" s="121"/>
      <c r="K81" s="121"/>
      <c r="L81" s="38"/>
      <c r="M81" s="38"/>
      <c r="N81" s="38"/>
      <c r="O81" s="122"/>
      <c r="Q81" s="136"/>
      <c r="R81" s="134"/>
      <c r="S81" s="135"/>
    </row>
    <row r="82" spans="1:19">
      <c r="A82" s="116"/>
      <c r="B82" s="117"/>
      <c r="C82" s="118"/>
      <c r="D82" s="118"/>
      <c r="E82" s="119"/>
      <c r="F82" s="118"/>
      <c r="G82" s="120"/>
      <c r="H82" s="121"/>
      <c r="I82" s="121"/>
      <c r="J82" s="121"/>
      <c r="K82" s="121"/>
      <c r="L82" s="38"/>
      <c r="M82" s="38"/>
      <c r="N82" s="38"/>
      <c r="O82" s="122"/>
      <c r="Q82" s="136"/>
      <c r="R82" s="134"/>
      <c r="S82" s="135"/>
    </row>
    <row r="83" spans="1:19">
      <c r="A83" s="116"/>
      <c r="B83" s="117"/>
      <c r="C83" s="118"/>
      <c r="D83" s="118"/>
      <c r="E83" s="119"/>
      <c r="F83" s="118"/>
      <c r="G83" s="120"/>
      <c r="H83" s="121"/>
      <c r="I83" s="121"/>
      <c r="J83" s="121"/>
      <c r="K83" s="121"/>
      <c r="L83" s="38"/>
      <c r="M83" s="38"/>
      <c r="N83" s="38"/>
      <c r="O83" s="122"/>
      <c r="Q83" s="136"/>
      <c r="R83" s="134"/>
      <c r="S83" s="135"/>
    </row>
    <row r="84" spans="1:19">
      <c r="A84" s="116"/>
      <c r="B84" s="117"/>
      <c r="C84" s="118"/>
      <c r="D84" s="118"/>
      <c r="E84" s="119"/>
      <c r="F84" s="118"/>
      <c r="G84" s="120"/>
      <c r="H84" s="121"/>
      <c r="I84" s="121"/>
      <c r="J84" s="121"/>
      <c r="K84" s="121"/>
      <c r="L84" s="38"/>
      <c r="M84" s="38"/>
      <c r="N84" s="38"/>
      <c r="O84" s="122"/>
      <c r="Q84" s="136"/>
      <c r="R84" s="134"/>
      <c r="S84" s="135"/>
    </row>
    <row r="85" spans="1:19">
      <c r="A85" s="116"/>
      <c r="B85" s="117"/>
      <c r="C85" s="118"/>
      <c r="D85" s="118"/>
      <c r="E85" s="119"/>
      <c r="F85" s="118"/>
      <c r="G85" s="120"/>
      <c r="H85" s="121"/>
      <c r="I85" s="121"/>
      <c r="J85" s="121"/>
      <c r="K85" s="121"/>
      <c r="L85" s="38"/>
      <c r="M85" s="38"/>
      <c r="N85" s="38"/>
      <c r="O85" s="122"/>
      <c r="Q85" s="136"/>
      <c r="R85" s="134"/>
      <c r="S85" s="135"/>
    </row>
    <row r="86" spans="1:19">
      <c r="A86" s="116"/>
      <c r="B86" s="117"/>
      <c r="C86" s="118"/>
      <c r="D86" s="118"/>
      <c r="E86" s="119"/>
      <c r="F86" s="118"/>
      <c r="G86" s="120"/>
      <c r="H86" s="121"/>
      <c r="I86" s="121"/>
      <c r="J86" s="121"/>
      <c r="K86" s="121"/>
      <c r="L86" s="38"/>
      <c r="M86" s="38"/>
      <c r="N86" s="38"/>
      <c r="O86" s="122"/>
      <c r="Q86" s="136"/>
      <c r="R86" s="134"/>
      <c r="S86" s="135"/>
    </row>
    <row r="87" spans="1:19">
      <c r="A87" s="116"/>
      <c r="B87" s="117"/>
      <c r="C87" s="118"/>
      <c r="D87" s="118"/>
      <c r="E87" s="119"/>
      <c r="F87" s="118"/>
      <c r="G87" s="120"/>
      <c r="H87" s="121"/>
      <c r="I87" s="121"/>
      <c r="J87" s="121"/>
      <c r="K87" s="121"/>
      <c r="L87" s="38"/>
      <c r="M87" s="38"/>
      <c r="N87" s="38"/>
      <c r="O87" s="122"/>
      <c r="Q87" s="136"/>
      <c r="R87" s="134"/>
      <c r="S87" s="135"/>
    </row>
    <row r="88" spans="1:19">
      <c r="A88" s="116"/>
      <c r="B88" s="117"/>
      <c r="C88" s="118"/>
      <c r="D88" s="118"/>
      <c r="E88" s="119"/>
      <c r="F88" s="118"/>
      <c r="G88" s="120"/>
      <c r="H88" s="121"/>
      <c r="I88" s="121"/>
      <c r="J88" s="121"/>
      <c r="K88" s="121"/>
      <c r="L88" s="38"/>
      <c r="M88" s="38"/>
      <c r="N88" s="38"/>
      <c r="O88" s="122"/>
      <c r="Q88" s="136"/>
      <c r="R88" s="134"/>
      <c r="S88" s="135"/>
    </row>
    <row r="89" spans="1:19">
      <c r="A89" s="116"/>
      <c r="B89" s="117"/>
      <c r="C89" s="118"/>
      <c r="D89" s="118"/>
      <c r="E89" s="119"/>
      <c r="F89" s="118"/>
      <c r="G89" s="120"/>
      <c r="H89" s="121"/>
      <c r="I89" s="121"/>
      <c r="J89" s="121"/>
      <c r="K89" s="121"/>
      <c r="L89" s="38"/>
      <c r="M89" s="38"/>
      <c r="N89" s="38"/>
      <c r="O89" s="122"/>
      <c r="Q89" s="136"/>
      <c r="R89" s="134"/>
      <c r="S89" s="135"/>
    </row>
    <row r="90" spans="1:19">
      <c r="A90" s="116"/>
      <c r="B90" s="117"/>
      <c r="C90" s="118"/>
      <c r="D90" s="118"/>
      <c r="E90" s="119"/>
      <c r="F90" s="118"/>
      <c r="G90" s="120"/>
      <c r="H90" s="121"/>
      <c r="I90" s="121"/>
      <c r="J90" s="121"/>
      <c r="K90" s="121"/>
      <c r="L90" s="38"/>
      <c r="M90" s="38"/>
      <c r="N90" s="38"/>
      <c r="O90" s="122"/>
      <c r="Q90" s="136"/>
      <c r="R90" s="134"/>
      <c r="S90" s="135"/>
    </row>
    <row r="91" spans="1:19">
      <c r="A91" s="116"/>
      <c r="B91" s="117"/>
      <c r="C91" s="118"/>
      <c r="D91" s="118"/>
      <c r="E91" s="119"/>
      <c r="F91" s="118"/>
      <c r="G91" s="120"/>
      <c r="H91" s="121"/>
      <c r="I91" s="121"/>
      <c r="J91" s="121"/>
      <c r="K91" s="121"/>
      <c r="L91" s="38"/>
      <c r="M91" s="38"/>
      <c r="N91" s="38"/>
      <c r="O91" s="122"/>
      <c r="Q91" s="136"/>
      <c r="R91" s="134"/>
      <c r="S91" s="135"/>
    </row>
    <row r="92" spans="1:19">
      <c r="A92" s="116"/>
      <c r="B92" s="117"/>
      <c r="C92" s="118"/>
      <c r="D92" s="118"/>
      <c r="E92" s="119"/>
      <c r="F92" s="118"/>
      <c r="G92" s="120"/>
      <c r="H92" s="121"/>
      <c r="I92" s="121"/>
      <c r="J92" s="121"/>
      <c r="K92" s="121"/>
      <c r="L92" s="38"/>
      <c r="M92" s="38"/>
      <c r="N92" s="38"/>
      <c r="O92" s="122"/>
      <c r="Q92" s="136"/>
      <c r="R92" s="134"/>
      <c r="S92" s="135"/>
    </row>
    <row r="93" spans="1:19">
      <c r="A93" s="116"/>
      <c r="B93" s="117"/>
      <c r="C93" s="118"/>
      <c r="D93" s="118"/>
      <c r="E93" s="119"/>
      <c r="F93" s="118"/>
      <c r="G93" s="120"/>
      <c r="H93" s="121"/>
      <c r="I93" s="121"/>
      <c r="J93" s="121"/>
      <c r="K93" s="121"/>
      <c r="L93" s="38"/>
      <c r="M93" s="38"/>
      <c r="N93" s="38"/>
      <c r="O93" s="122"/>
      <c r="Q93" s="136"/>
      <c r="R93" s="134"/>
      <c r="S93" s="135"/>
    </row>
    <row r="94" spans="1:19">
      <c r="A94" s="116"/>
      <c r="B94" s="117"/>
      <c r="C94" s="118"/>
      <c r="D94" s="118"/>
      <c r="E94" s="119"/>
      <c r="F94" s="118"/>
      <c r="G94" s="120"/>
      <c r="H94" s="121"/>
      <c r="I94" s="121"/>
      <c r="J94" s="121"/>
      <c r="K94" s="121"/>
      <c r="L94" s="38"/>
      <c r="M94" s="38"/>
      <c r="N94" s="38"/>
      <c r="O94" s="122"/>
      <c r="Q94" s="136"/>
      <c r="R94" s="134"/>
      <c r="S94" s="135"/>
    </row>
    <row r="95" spans="1:19">
      <c r="A95" s="116"/>
      <c r="B95" s="117"/>
      <c r="C95" s="118"/>
      <c r="D95" s="118"/>
      <c r="E95" s="119"/>
      <c r="F95" s="118"/>
      <c r="G95" s="120"/>
      <c r="H95" s="121"/>
      <c r="I95" s="121"/>
      <c r="J95" s="121"/>
      <c r="K95" s="121"/>
      <c r="L95" s="38"/>
      <c r="M95" s="38"/>
      <c r="N95" s="38"/>
      <c r="O95" s="122"/>
      <c r="Q95" s="136"/>
      <c r="R95" s="134"/>
      <c r="S95" s="135"/>
    </row>
    <row r="96" spans="1:19">
      <c r="A96" s="116"/>
      <c r="B96" s="117"/>
      <c r="C96" s="118"/>
      <c r="D96" s="118"/>
      <c r="E96" s="119"/>
      <c r="F96" s="118"/>
      <c r="G96" s="120"/>
      <c r="H96" s="121"/>
      <c r="I96" s="121"/>
      <c r="J96" s="121"/>
      <c r="K96" s="121"/>
      <c r="L96" s="38"/>
      <c r="M96" s="38"/>
      <c r="N96" s="38"/>
      <c r="O96" s="122"/>
      <c r="Q96" s="136"/>
      <c r="R96" s="134"/>
      <c r="S96" s="135"/>
    </row>
    <row r="97" spans="1:19">
      <c r="A97" s="116"/>
      <c r="B97" s="117"/>
      <c r="C97" s="118"/>
      <c r="D97" s="118"/>
      <c r="E97" s="119"/>
      <c r="F97" s="118"/>
      <c r="G97" s="120"/>
      <c r="H97" s="121"/>
      <c r="I97" s="121"/>
      <c r="J97" s="121"/>
      <c r="K97" s="121"/>
      <c r="L97" s="38"/>
      <c r="M97" s="38"/>
      <c r="N97" s="38"/>
      <c r="O97" s="122"/>
      <c r="Q97" s="136"/>
      <c r="R97" s="134"/>
      <c r="S97" s="135"/>
    </row>
    <row r="98" spans="1:19">
      <c r="A98" s="116"/>
      <c r="B98" s="117"/>
      <c r="C98" s="118"/>
      <c r="D98" s="118"/>
      <c r="E98" s="119"/>
      <c r="F98" s="118"/>
      <c r="G98" s="120"/>
      <c r="H98" s="121"/>
      <c r="I98" s="121"/>
      <c r="J98" s="121"/>
      <c r="K98" s="121"/>
      <c r="L98" s="38"/>
      <c r="M98" s="38"/>
      <c r="N98" s="38"/>
      <c r="O98" s="122"/>
      <c r="Q98" s="136"/>
      <c r="R98" s="134"/>
      <c r="S98" s="135"/>
    </row>
    <row r="99" spans="1:19">
      <c r="A99" s="116"/>
      <c r="B99" s="117"/>
      <c r="C99" s="118"/>
      <c r="D99" s="118"/>
      <c r="E99" s="119"/>
      <c r="F99" s="118"/>
      <c r="G99" s="120"/>
      <c r="H99" s="121"/>
      <c r="I99" s="121"/>
      <c r="J99" s="121"/>
      <c r="K99" s="121"/>
      <c r="L99" s="38"/>
      <c r="M99" s="38"/>
      <c r="N99" s="38"/>
      <c r="O99" s="122"/>
      <c r="Q99" s="136"/>
      <c r="R99" s="134"/>
      <c r="S99" s="135"/>
    </row>
    <row r="100" spans="1:19">
      <c r="A100" s="116"/>
      <c r="B100" s="117"/>
      <c r="C100" s="118"/>
      <c r="D100" s="118"/>
      <c r="E100" s="119"/>
      <c r="F100" s="118"/>
      <c r="G100" s="120"/>
      <c r="H100" s="121"/>
      <c r="I100" s="121"/>
      <c r="J100" s="121"/>
      <c r="K100" s="121"/>
      <c r="L100" s="38"/>
      <c r="M100" s="38"/>
      <c r="N100" s="38"/>
      <c r="O100" s="122"/>
      <c r="Q100" s="136"/>
      <c r="R100" s="134"/>
      <c r="S100" s="135"/>
    </row>
    <row r="101" spans="1:19">
      <c r="A101" s="116"/>
      <c r="B101" s="117"/>
      <c r="C101" s="118"/>
      <c r="D101" s="118"/>
      <c r="E101" s="119"/>
      <c r="F101" s="118"/>
      <c r="G101" s="120"/>
      <c r="H101" s="121"/>
      <c r="I101" s="121"/>
      <c r="J101" s="121"/>
      <c r="K101" s="121"/>
      <c r="L101" s="38"/>
      <c r="M101" s="38"/>
      <c r="N101" s="38"/>
      <c r="O101" s="122"/>
      <c r="Q101" s="136"/>
      <c r="R101" s="134"/>
      <c r="S101" s="135"/>
    </row>
    <row r="102" spans="1:19">
      <c r="A102" s="116"/>
      <c r="B102" s="117"/>
      <c r="C102" s="118"/>
      <c r="D102" s="118"/>
      <c r="E102" s="119"/>
      <c r="F102" s="118"/>
      <c r="G102" s="120"/>
      <c r="H102" s="121"/>
      <c r="I102" s="121"/>
      <c r="J102" s="121"/>
      <c r="K102" s="121"/>
      <c r="L102" s="38"/>
      <c r="M102" s="38"/>
      <c r="N102" s="38"/>
      <c r="O102" s="122"/>
      <c r="Q102" s="136"/>
      <c r="R102" s="134"/>
      <c r="S102" s="135"/>
    </row>
    <row r="103" spans="1:19">
      <c r="A103" s="116"/>
      <c r="B103" s="117"/>
      <c r="C103" s="118"/>
      <c r="D103" s="118"/>
      <c r="E103" s="119"/>
      <c r="F103" s="118"/>
      <c r="G103" s="120"/>
      <c r="H103" s="121"/>
      <c r="I103" s="121"/>
      <c r="J103" s="121"/>
      <c r="K103" s="121"/>
      <c r="L103" s="38"/>
      <c r="M103" s="38"/>
      <c r="N103" s="38"/>
      <c r="O103" s="122"/>
      <c r="Q103" s="136"/>
      <c r="R103" s="134"/>
      <c r="S103" s="135"/>
    </row>
    <row r="104" spans="1:19">
      <c r="A104" s="116"/>
      <c r="B104" s="117"/>
      <c r="C104" s="118"/>
      <c r="D104" s="118"/>
      <c r="E104" s="119"/>
      <c r="F104" s="118"/>
      <c r="G104" s="120"/>
      <c r="H104" s="121"/>
      <c r="I104" s="121"/>
      <c r="J104" s="121"/>
      <c r="K104" s="121"/>
      <c r="L104" s="38"/>
      <c r="M104" s="38"/>
      <c r="N104" s="38"/>
      <c r="O104" s="122"/>
      <c r="Q104" s="136"/>
      <c r="R104" s="134"/>
      <c r="S104" s="135"/>
    </row>
    <row r="105" spans="1:19">
      <c r="A105" s="116"/>
      <c r="B105" s="117"/>
      <c r="C105" s="118"/>
      <c r="D105" s="118"/>
      <c r="E105" s="119"/>
      <c r="F105" s="118"/>
      <c r="G105" s="120"/>
      <c r="H105" s="121"/>
      <c r="I105" s="121"/>
      <c r="J105" s="121"/>
      <c r="K105" s="121"/>
      <c r="L105" s="38"/>
      <c r="M105" s="38"/>
      <c r="N105" s="38"/>
      <c r="O105" s="122"/>
      <c r="Q105" s="136"/>
      <c r="R105" s="134"/>
      <c r="S105" s="135"/>
    </row>
    <row r="106" spans="1:19">
      <c r="A106" s="116"/>
      <c r="B106" s="117"/>
      <c r="C106" s="118"/>
      <c r="D106" s="118"/>
      <c r="E106" s="119"/>
      <c r="F106" s="118"/>
      <c r="G106" s="120"/>
      <c r="H106" s="121"/>
      <c r="I106" s="121"/>
      <c r="J106" s="121"/>
      <c r="K106" s="121"/>
      <c r="L106" s="38"/>
      <c r="M106" s="38"/>
      <c r="N106" s="38"/>
      <c r="O106" s="122"/>
      <c r="Q106" s="136"/>
      <c r="R106" s="134"/>
      <c r="S106" s="135"/>
    </row>
    <row r="107" spans="1:19">
      <c r="A107" s="116"/>
      <c r="B107" s="117"/>
      <c r="C107" s="118"/>
      <c r="D107" s="118"/>
      <c r="E107" s="119"/>
      <c r="F107" s="118"/>
      <c r="G107" s="120"/>
      <c r="H107" s="121"/>
      <c r="I107" s="121"/>
      <c r="J107" s="121"/>
      <c r="K107" s="121"/>
      <c r="L107" s="38"/>
      <c r="M107" s="38"/>
      <c r="N107" s="38"/>
      <c r="O107" s="122"/>
      <c r="Q107" s="136"/>
      <c r="R107" s="134"/>
      <c r="S107" s="135"/>
    </row>
    <row r="108" spans="1:19">
      <c r="A108" s="116"/>
      <c r="B108" s="117"/>
      <c r="C108" s="118"/>
      <c r="D108" s="118"/>
      <c r="E108" s="119"/>
      <c r="F108" s="118"/>
      <c r="G108" s="120"/>
      <c r="H108" s="121"/>
      <c r="I108" s="121"/>
      <c r="J108" s="121"/>
      <c r="K108" s="121"/>
      <c r="L108" s="38"/>
      <c r="M108" s="38"/>
      <c r="N108" s="38"/>
      <c r="O108" s="122"/>
      <c r="Q108" s="136"/>
      <c r="R108" s="134"/>
      <c r="S108" s="135"/>
    </row>
    <row r="109" spans="1:19">
      <c r="A109" s="116"/>
      <c r="B109" s="117"/>
      <c r="C109" s="118"/>
      <c r="D109" s="118"/>
      <c r="E109" s="119"/>
      <c r="F109" s="118"/>
      <c r="G109" s="120"/>
      <c r="H109" s="121"/>
      <c r="I109" s="121"/>
      <c r="J109" s="121"/>
      <c r="K109" s="121"/>
      <c r="L109" s="38"/>
      <c r="M109" s="38"/>
      <c r="N109" s="38"/>
      <c r="O109" s="122"/>
      <c r="Q109" s="136"/>
      <c r="R109" s="134"/>
      <c r="S109" s="135"/>
    </row>
    <row r="110" spans="1:19">
      <c r="A110" s="116"/>
      <c r="B110" s="117"/>
      <c r="C110" s="118"/>
      <c r="D110" s="118"/>
      <c r="E110" s="119"/>
      <c r="F110" s="118"/>
      <c r="G110" s="120"/>
      <c r="H110" s="121"/>
      <c r="I110" s="121"/>
      <c r="J110" s="121"/>
      <c r="K110" s="121"/>
      <c r="L110" s="38"/>
      <c r="M110" s="38"/>
      <c r="N110" s="38"/>
      <c r="O110" s="122"/>
      <c r="Q110" s="136"/>
      <c r="R110" s="134"/>
      <c r="S110" s="135"/>
    </row>
    <row r="111" spans="1:19">
      <c r="A111" s="116"/>
      <c r="B111" s="117"/>
      <c r="C111" s="118"/>
      <c r="D111" s="118"/>
      <c r="E111" s="119"/>
      <c r="F111" s="118"/>
      <c r="G111" s="120"/>
      <c r="H111" s="121"/>
      <c r="I111" s="121"/>
      <c r="J111" s="121"/>
      <c r="K111" s="121"/>
      <c r="L111" s="38"/>
      <c r="M111" s="38"/>
      <c r="N111" s="38"/>
      <c r="O111" s="122"/>
      <c r="Q111" s="136"/>
      <c r="R111" s="134"/>
      <c r="S111" s="135"/>
    </row>
    <row r="112" spans="1:19">
      <c r="A112" s="116"/>
      <c r="B112" s="117"/>
      <c r="C112" s="118"/>
      <c r="D112" s="118"/>
      <c r="E112" s="119"/>
      <c r="F112" s="118"/>
      <c r="G112" s="120"/>
      <c r="H112" s="121"/>
      <c r="I112" s="121"/>
      <c r="J112" s="121"/>
      <c r="K112" s="121"/>
      <c r="L112" s="38"/>
      <c r="M112" s="38"/>
      <c r="N112" s="38"/>
      <c r="O112" s="122"/>
      <c r="Q112" s="136"/>
      <c r="R112" s="134"/>
      <c r="S112" s="135"/>
    </row>
    <row r="113" spans="1:19">
      <c r="A113" s="116"/>
      <c r="B113" s="117"/>
      <c r="C113" s="118"/>
      <c r="D113" s="118"/>
      <c r="E113" s="119"/>
      <c r="F113" s="118"/>
      <c r="G113" s="120"/>
      <c r="H113" s="121"/>
      <c r="I113" s="121"/>
      <c r="J113" s="121"/>
      <c r="K113" s="121"/>
      <c r="L113" s="38"/>
      <c r="M113" s="38"/>
      <c r="N113" s="38"/>
      <c r="O113" s="122"/>
      <c r="Q113" s="136"/>
      <c r="R113" s="134"/>
      <c r="S113" s="135"/>
    </row>
    <row r="114" spans="1:19">
      <c r="A114" s="116"/>
      <c r="B114" s="117"/>
      <c r="C114" s="118"/>
      <c r="D114" s="118"/>
      <c r="E114" s="119"/>
      <c r="F114" s="118"/>
      <c r="G114" s="120"/>
      <c r="H114" s="121"/>
      <c r="I114" s="121"/>
      <c r="J114" s="121"/>
      <c r="K114" s="121"/>
      <c r="L114" s="38"/>
      <c r="M114" s="38"/>
      <c r="N114" s="38"/>
      <c r="O114" s="122"/>
      <c r="Q114" s="136"/>
      <c r="R114" s="134"/>
      <c r="S114" s="135"/>
    </row>
    <row r="115" spans="1:19">
      <c r="A115" s="116"/>
      <c r="B115" s="117"/>
      <c r="C115" s="118"/>
      <c r="D115" s="118"/>
      <c r="E115" s="119"/>
      <c r="F115" s="118"/>
      <c r="G115" s="120"/>
      <c r="H115" s="121"/>
      <c r="I115" s="121"/>
      <c r="J115" s="121"/>
      <c r="K115" s="121"/>
      <c r="L115" s="38"/>
      <c r="M115" s="38"/>
      <c r="N115" s="38"/>
      <c r="O115" s="122"/>
      <c r="Q115" s="136"/>
      <c r="R115" s="134"/>
      <c r="S115" s="135"/>
    </row>
    <row r="116" spans="1:19">
      <c r="A116" s="116"/>
      <c r="B116" s="117"/>
      <c r="C116" s="118"/>
      <c r="D116" s="118"/>
      <c r="E116" s="119"/>
      <c r="F116" s="118"/>
      <c r="G116" s="120"/>
      <c r="H116" s="121"/>
      <c r="I116" s="121"/>
      <c r="J116" s="121"/>
      <c r="K116" s="121"/>
      <c r="L116" s="38"/>
      <c r="M116" s="38"/>
      <c r="N116" s="38"/>
      <c r="O116" s="122"/>
      <c r="Q116" s="136"/>
      <c r="R116" s="134"/>
      <c r="S116" s="135"/>
    </row>
    <row r="117" spans="1:19">
      <c r="A117" s="116"/>
      <c r="B117" s="117"/>
      <c r="C117" s="118"/>
      <c r="D117" s="118"/>
      <c r="E117" s="119"/>
      <c r="F117" s="118"/>
      <c r="G117" s="120"/>
      <c r="H117" s="121"/>
      <c r="I117" s="121"/>
      <c r="J117" s="121"/>
      <c r="K117" s="121"/>
      <c r="L117" s="38"/>
      <c r="M117" s="38"/>
      <c r="N117" s="38"/>
      <c r="O117" s="122"/>
      <c r="Q117" s="136"/>
      <c r="R117" s="134"/>
      <c r="S117" s="135"/>
    </row>
    <row r="118" spans="1:19">
      <c r="A118" s="116"/>
      <c r="B118" s="117"/>
      <c r="C118" s="118"/>
      <c r="D118" s="118"/>
      <c r="E118" s="119"/>
      <c r="F118" s="118"/>
      <c r="G118" s="120"/>
      <c r="H118" s="121"/>
      <c r="I118" s="121"/>
      <c r="J118" s="121"/>
      <c r="K118" s="121"/>
      <c r="L118" s="38"/>
      <c r="M118" s="38"/>
      <c r="N118" s="38"/>
      <c r="O118" s="122"/>
      <c r="Q118" s="136"/>
      <c r="R118" s="134"/>
      <c r="S118" s="135"/>
    </row>
    <row r="119" spans="1:19">
      <c r="A119" s="116"/>
      <c r="B119" s="117"/>
      <c r="C119" s="118"/>
      <c r="D119" s="118"/>
      <c r="E119" s="119"/>
      <c r="F119" s="118"/>
      <c r="G119" s="120"/>
      <c r="H119" s="121"/>
      <c r="I119" s="121"/>
      <c r="J119" s="121"/>
      <c r="K119" s="121"/>
      <c r="L119" s="38"/>
      <c r="M119" s="38"/>
      <c r="N119" s="38"/>
      <c r="O119" s="122"/>
      <c r="Q119" s="136"/>
      <c r="R119" s="134"/>
      <c r="S119" s="135"/>
    </row>
    <row r="120" spans="1:19">
      <c r="A120" s="116"/>
      <c r="B120" s="117"/>
      <c r="C120" s="118"/>
      <c r="D120" s="118"/>
      <c r="E120" s="119"/>
      <c r="F120" s="118"/>
      <c r="G120" s="120"/>
      <c r="H120" s="121"/>
      <c r="I120" s="121"/>
      <c r="J120" s="121"/>
      <c r="K120" s="121"/>
      <c r="L120" s="38"/>
      <c r="M120" s="38"/>
      <c r="N120" s="38"/>
      <c r="O120" s="122"/>
      <c r="Q120" s="136"/>
      <c r="R120" s="134"/>
      <c r="S120" s="135"/>
    </row>
    <row r="121" spans="1:19">
      <c r="A121" s="116"/>
      <c r="B121" s="117"/>
      <c r="C121" s="118"/>
      <c r="D121" s="118"/>
      <c r="E121" s="119"/>
      <c r="F121" s="118"/>
      <c r="G121" s="120"/>
      <c r="H121" s="121"/>
      <c r="I121" s="121"/>
      <c r="J121" s="121"/>
      <c r="K121" s="121"/>
      <c r="L121" s="38"/>
      <c r="M121" s="38"/>
      <c r="N121" s="38"/>
      <c r="O121" s="122"/>
      <c r="Q121" s="136"/>
      <c r="R121" s="134"/>
      <c r="S121" s="135"/>
    </row>
    <row r="122" spans="1:19">
      <c r="A122" s="116"/>
      <c r="B122" s="117"/>
      <c r="C122" s="118"/>
      <c r="D122" s="118"/>
      <c r="E122" s="119"/>
      <c r="F122" s="118"/>
      <c r="G122" s="120"/>
      <c r="H122" s="121"/>
      <c r="I122" s="121"/>
      <c r="J122" s="121"/>
      <c r="K122" s="121"/>
      <c r="L122" s="38"/>
      <c r="M122" s="38"/>
      <c r="N122" s="38"/>
      <c r="O122" s="122"/>
      <c r="Q122" s="136"/>
      <c r="R122" s="134"/>
      <c r="S122" s="135"/>
    </row>
    <row r="123" spans="1:19">
      <c r="A123" s="116"/>
      <c r="B123" s="117"/>
      <c r="C123" s="118"/>
      <c r="D123" s="118"/>
      <c r="E123" s="119"/>
      <c r="F123" s="118"/>
      <c r="G123" s="120"/>
      <c r="H123" s="121"/>
      <c r="I123" s="121"/>
      <c r="J123" s="121"/>
      <c r="K123" s="121"/>
      <c r="L123" s="38"/>
      <c r="M123" s="38"/>
      <c r="N123" s="38"/>
      <c r="O123" s="122"/>
      <c r="Q123" s="136"/>
      <c r="R123" s="134"/>
      <c r="S123" s="135"/>
    </row>
    <row r="124" spans="1:19">
      <c r="A124" s="116"/>
      <c r="B124" s="117"/>
      <c r="C124" s="118"/>
      <c r="D124" s="118"/>
      <c r="E124" s="119"/>
      <c r="F124" s="118"/>
      <c r="G124" s="120"/>
      <c r="H124" s="121"/>
      <c r="I124" s="121"/>
      <c r="J124" s="121"/>
      <c r="K124" s="121"/>
      <c r="L124" s="38"/>
      <c r="M124" s="38"/>
      <c r="N124" s="38"/>
      <c r="O124" s="122"/>
      <c r="Q124" s="136"/>
      <c r="R124" s="134"/>
      <c r="S124" s="135"/>
    </row>
    <row r="125" spans="1:19">
      <c r="A125" s="116"/>
      <c r="B125" s="117"/>
      <c r="C125" s="118"/>
      <c r="D125" s="118"/>
      <c r="E125" s="119"/>
      <c r="F125" s="118"/>
      <c r="G125" s="120"/>
      <c r="H125" s="121"/>
      <c r="I125" s="121"/>
      <c r="J125" s="121"/>
      <c r="K125" s="121"/>
      <c r="L125" s="38"/>
      <c r="M125" s="38"/>
      <c r="N125" s="38"/>
      <c r="O125" s="122"/>
      <c r="Q125" s="136"/>
      <c r="R125" s="134"/>
      <c r="S125" s="135"/>
    </row>
    <row r="126" spans="1:19">
      <c r="A126" s="116"/>
      <c r="B126" s="117"/>
      <c r="C126" s="118"/>
      <c r="D126" s="118"/>
      <c r="E126" s="119"/>
      <c r="F126" s="118"/>
      <c r="G126" s="120"/>
      <c r="H126" s="121"/>
      <c r="I126" s="121"/>
      <c r="J126" s="121"/>
      <c r="K126" s="121"/>
      <c r="L126" s="38"/>
      <c r="M126" s="38"/>
      <c r="N126" s="38"/>
      <c r="O126" s="122"/>
      <c r="Q126" s="136"/>
      <c r="R126" s="134"/>
      <c r="S126" s="135"/>
    </row>
    <row r="127" spans="1:19">
      <c r="A127" s="116"/>
      <c r="B127" s="117"/>
      <c r="C127" s="118"/>
      <c r="D127" s="118"/>
      <c r="E127" s="119"/>
      <c r="F127" s="118"/>
      <c r="G127" s="120"/>
      <c r="H127" s="121"/>
      <c r="I127" s="121"/>
      <c r="J127" s="121"/>
      <c r="K127" s="121"/>
      <c r="L127" s="38"/>
      <c r="M127" s="38"/>
      <c r="N127" s="38"/>
      <c r="O127" s="122"/>
      <c r="Q127" s="136"/>
      <c r="R127" s="134"/>
      <c r="S127" s="135"/>
    </row>
    <row r="128" spans="1:19">
      <c r="A128" s="116"/>
      <c r="B128" s="117"/>
      <c r="C128" s="118"/>
      <c r="D128" s="118"/>
      <c r="E128" s="119"/>
      <c r="F128" s="118"/>
      <c r="G128" s="120"/>
      <c r="H128" s="121"/>
      <c r="I128" s="121"/>
      <c r="J128" s="121"/>
      <c r="K128" s="121"/>
      <c r="L128" s="38"/>
      <c r="M128" s="38"/>
      <c r="N128" s="38"/>
      <c r="O128" s="122"/>
      <c r="Q128" s="136"/>
      <c r="R128" s="134"/>
      <c r="S128" s="135"/>
    </row>
    <row r="129" spans="1:19">
      <c r="A129" s="116"/>
      <c r="B129" s="117"/>
      <c r="C129" s="118"/>
      <c r="D129" s="118"/>
      <c r="E129" s="119"/>
      <c r="F129" s="118"/>
      <c r="G129" s="120"/>
      <c r="H129" s="121"/>
      <c r="I129" s="121"/>
      <c r="J129" s="121"/>
      <c r="K129" s="121"/>
      <c r="L129" s="38"/>
      <c r="M129" s="38"/>
      <c r="N129" s="38"/>
      <c r="O129" s="122"/>
      <c r="Q129" s="136"/>
      <c r="R129" s="134"/>
      <c r="S129" s="135"/>
    </row>
    <row r="130" spans="1:19">
      <c r="A130" s="116"/>
      <c r="B130" s="117"/>
      <c r="C130" s="118"/>
      <c r="D130" s="118"/>
      <c r="E130" s="119"/>
      <c r="F130" s="118"/>
      <c r="G130" s="120"/>
      <c r="H130" s="121"/>
      <c r="I130" s="121"/>
      <c r="J130" s="121"/>
      <c r="K130" s="121"/>
      <c r="L130" s="38"/>
      <c r="M130" s="38"/>
      <c r="N130" s="38"/>
      <c r="O130" s="122"/>
      <c r="Q130" s="136"/>
      <c r="R130" s="134"/>
      <c r="S130" s="135"/>
    </row>
    <row r="131" spans="1:19">
      <c r="A131" s="116"/>
      <c r="B131" s="117"/>
      <c r="C131" s="118"/>
      <c r="D131" s="118"/>
      <c r="E131" s="119"/>
      <c r="F131" s="118"/>
      <c r="G131" s="120"/>
      <c r="H131" s="121"/>
      <c r="I131" s="121"/>
      <c r="J131" s="121"/>
      <c r="K131" s="121"/>
      <c r="L131" s="38"/>
      <c r="M131" s="38"/>
      <c r="N131" s="38"/>
      <c r="O131" s="122"/>
      <c r="Q131" s="136"/>
      <c r="R131" s="134"/>
      <c r="S131" s="135"/>
    </row>
    <row r="132" spans="1:19">
      <c r="A132" s="116"/>
      <c r="B132" s="117"/>
      <c r="C132" s="118"/>
      <c r="D132" s="118"/>
      <c r="E132" s="119"/>
      <c r="F132" s="118"/>
      <c r="G132" s="120"/>
      <c r="H132" s="121"/>
      <c r="I132" s="121"/>
      <c r="J132" s="121"/>
      <c r="K132" s="121"/>
      <c r="L132" s="38"/>
      <c r="M132" s="38"/>
      <c r="N132" s="38"/>
      <c r="O132" s="122"/>
      <c r="Q132" s="136"/>
      <c r="R132" s="134"/>
      <c r="S132" s="135"/>
    </row>
    <row r="133" spans="1:19">
      <c r="A133" s="116"/>
      <c r="B133" s="117"/>
      <c r="C133" s="118"/>
      <c r="D133" s="118"/>
      <c r="E133" s="119"/>
      <c r="F133" s="118"/>
      <c r="G133" s="120"/>
      <c r="H133" s="121"/>
      <c r="I133" s="121"/>
      <c r="J133" s="121"/>
      <c r="K133" s="121"/>
      <c r="L133" s="38"/>
      <c r="M133" s="38"/>
      <c r="N133" s="38"/>
      <c r="O133" s="122"/>
      <c r="Q133" s="136"/>
      <c r="R133" s="134"/>
      <c r="S133" s="135"/>
    </row>
    <row r="134" spans="1:19">
      <c r="A134" s="116"/>
      <c r="B134" s="117"/>
      <c r="C134" s="118"/>
      <c r="D134" s="118"/>
      <c r="E134" s="119"/>
      <c r="F134" s="118"/>
      <c r="G134" s="120"/>
      <c r="H134" s="121"/>
      <c r="I134" s="121"/>
      <c r="J134" s="121"/>
      <c r="K134" s="121"/>
      <c r="L134" s="38"/>
      <c r="M134" s="38"/>
      <c r="N134" s="38"/>
      <c r="O134" s="122"/>
      <c r="Q134" s="136"/>
      <c r="R134" s="134"/>
      <c r="S134" s="135"/>
    </row>
    <row r="135" spans="1:19">
      <c r="A135" s="116"/>
      <c r="B135" s="117"/>
      <c r="C135" s="118"/>
      <c r="D135" s="118"/>
      <c r="E135" s="119"/>
      <c r="F135" s="118"/>
      <c r="G135" s="120"/>
      <c r="H135" s="121"/>
      <c r="I135" s="121"/>
      <c r="J135" s="121"/>
      <c r="K135" s="121"/>
      <c r="L135" s="38"/>
      <c r="M135" s="38"/>
      <c r="N135" s="38"/>
      <c r="O135" s="122"/>
      <c r="Q135" s="136"/>
      <c r="R135" s="134"/>
      <c r="S135" s="135"/>
    </row>
    <row r="136" spans="1:19">
      <c r="A136" s="116"/>
      <c r="B136" s="117"/>
      <c r="C136" s="118"/>
      <c r="D136" s="118"/>
      <c r="E136" s="119"/>
      <c r="F136" s="118"/>
      <c r="G136" s="120"/>
      <c r="H136" s="121"/>
      <c r="I136" s="121"/>
      <c r="J136" s="121"/>
      <c r="K136" s="121"/>
      <c r="L136" s="38"/>
      <c r="M136" s="38"/>
      <c r="N136" s="38"/>
      <c r="O136" s="122"/>
      <c r="Q136" s="136"/>
      <c r="R136" s="134"/>
      <c r="S136" s="135"/>
    </row>
    <row r="137" spans="1:19">
      <c r="A137" s="116"/>
      <c r="B137" s="117"/>
      <c r="C137" s="118"/>
      <c r="D137" s="118"/>
      <c r="E137" s="119"/>
      <c r="F137" s="118"/>
      <c r="G137" s="120"/>
      <c r="H137" s="121"/>
      <c r="I137" s="121"/>
      <c r="J137" s="121"/>
      <c r="K137" s="121"/>
      <c r="L137" s="38"/>
      <c r="M137" s="38"/>
      <c r="N137" s="38"/>
      <c r="O137" s="122"/>
      <c r="Q137" s="136"/>
      <c r="R137" s="134"/>
      <c r="S137" s="135"/>
    </row>
    <row r="138" spans="1:19">
      <c r="A138" s="116"/>
      <c r="B138" s="117"/>
      <c r="C138" s="118"/>
      <c r="D138" s="118"/>
      <c r="E138" s="119"/>
      <c r="F138" s="118"/>
      <c r="G138" s="120"/>
      <c r="H138" s="121"/>
      <c r="I138" s="121"/>
      <c r="J138" s="121"/>
      <c r="K138" s="121"/>
      <c r="L138" s="38"/>
      <c r="M138" s="38"/>
      <c r="N138" s="38"/>
      <c r="O138" s="122"/>
      <c r="Q138" s="136"/>
      <c r="R138" s="134"/>
      <c r="S138" s="135"/>
    </row>
    <row r="139" spans="1:19">
      <c r="A139" s="116"/>
      <c r="B139" s="117"/>
      <c r="C139" s="118"/>
      <c r="D139" s="118"/>
      <c r="E139" s="119"/>
      <c r="F139" s="118"/>
      <c r="G139" s="120"/>
      <c r="H139" s="121"/>
      <c r="I139" s="121"/>
      <c r="J139" s="121"/>
      <c r="K139" s="121"/>
      <c r="L139" s="38"/>
      <c r="M139" s="38"/>
      <c r="N139" s="38"/>
      <c r="O139" s="122"/>
      <c r="Q139" s="136"/>
      <c r="R139" s="134"/>
      <c r="S139" s="135"/>
    </row>
    <row r="140" spans="1:19">
      <c r="A140" s="116"/>
      <c r="B140" s="117"/>
      <c r="C140" s="118"/>
      <c r="D140" s="118"/>
      <c r="E140" s="119"/>
      <c r="F140" s="118"/>
      <c r="G140" s="120"/>
      <c r="H140" s="121"/>
      <c r="I140" s="121"/>
      <c r="J140" s="121"/>
      <c r="K140" s="121"/>
      <c r="L140" s="38"/>
      <c r="M140" s="38"/>
      <c r="N140" s="38"/>
      <c r="O140" s="122"/>
      <c r="Q140" s="136"/>
      <c r="R140" s="134"/>
      <c r="S140" s="135"/>
    </row>
    <row r="141" spans="1:19">
      <c r="A141" s="116"/>
      <c r="B141" s="117"/>
      <c r="C141" s="118"/>
      <c r="D141" s="118"/>
      <c r="E141" s="119"/>
      <c r="F141" s="118"/>
      <c r="G141" s="120"/>
      <c r="H141" s="121"/>
      <c r="I141" s="121"/>
      <c r="J141" s="121"/>
      <c r="K141" s="121"/>
      <c r="L141" s="38"/>
      <c r="M141" s="38"/>
      <c r="N141" s="38"/>
      <c r="O141" s="122"/>
      <c r="Q141" s="136"/>
      <c r="R141" s="134"/>
      <c r="S141" s="135"/>
    </row>
    <row r="142" spans="1:19">
      <c r="A142" s="116"/>
      <c r="B142" s="117"/>
      <c r="C142" s="118"/>
      <c r="D142" s="118"/>
      <c r="E142" s="119"/>
      <c r="F142" s="118"/>
      <c r="G142" s="120"/>
      <c r="H142" s="121"/>
      <c r="I142" s="121"/>
      <c r="J142" s="121"/>
      <c r="K142" s="121"/>
      <c r="L142" s="38"/>
      <c r="M142" s="38"/>
      <c r="N142" s="38"/>
      <c r="O142" s="122"/>
      <c r="Q142" s="136"/>
      <c r="R142" s="134"/>
      <c r="S142" s="135"/>
    </row>
    <row r="143" spans="1:19">
      <c r="A143" s="116"/>
      <c r="B143" s="117"/>
      <c r="C143" s="118"/>
      <c r="D143" s="118"/>
      <c r="E143" s="119"/>
      <c r="F143" s="118"/>
      <c r="G143" s="120"/>
      <c r="H143" s="121"/>
      <c r="I143" s="121"/>
      <c r="J143" s="121"/>
      <c r="K143" s="121"/>
      <c r="L143" s="38"/>
      <c r="M143" s="38"/>
      <c r="N143" s="38"/>
      <c r="O143" s="122"/>
      <c r="Q143" s="136"/>
      <c r="R143" s="134"/>
      <c r="S143" s="135"/>
    </row>
    <row r="144" spans="1:19">
      <c r="A144" s="116"/>
      <c r="B144" s="117"/>
      <c r="C144" s="118"/>
      <c r="D144" s="118"/>
      <c r="E144" s="119"/>
      <c r="F144" s="118"/>
      <c r="G144" s="120"/>
      <c r="H144" s="121"/>
      <c r="I144" s="121"/>
      <c r="J144" s="121"/>
      <c r="K144" s="121"/>
      <c r="L144" s="38"/>
      <c r="M144" s="38"/>
      <c r="N144" s="38"/>
      <c r="O144" s="122"/>
      <c r="Q144" s="136"/>
      <c r="R144" s="134"/>
      <c r="S144" s="135"/>
    </row>
    <row r="145" spans="1:19">
      <c r="A145" s="116"/>
      <c r="B145" s="117"/>
      <c r="C145" s="118"/>
      <c r="D145" s="118"/>
      <c r="E145" s="119"/>
      <c r="F145" s="118"/>
      <c r="G145" s="120"/>
      <c r="H145" s="121"/>
      <c r="I145" s="121"/>
      <c r="J145" s="121"/>
      <c r="K145" s="121"/>
      <c r="L145" s="38"/>
      <c r="M145" s="38"/>
      <c r="N145" s="38"/>
      <c r="O145" s="122"/>
      <c r="Q145" s="136"/>
      <c r="R145" s="134"/>
      <c r="S145" s="135"/>
    </row>
    <row r="146" spans="1:19">
      <c r="A146" s="116"/>
      <c r="B146" s="117"/>
      <c r="C146" s="118"/>
      <c r="D146" s="118"/>
      <c r="E146" s="119"/>
      <c r="F146" s="118"/>
      <c r="G146" s="120"/>
      <c r="H146" s="121"/>
      <c r="I146" s="121"/>
      <c r="J146" s="121"/>
      <c r="K146" s="121"/>
      <c r="L146" s="38"/>
      <c r="M146" s="38"/>
      <c r="N146" s="38"/>
      <c r="O146" s="122"/>
      <c r="Q146" s="136"/>
      <c r="R146" s="134"/>
      <c r="S146" s="135"/>
    </row>
    <row r="147" spans="1:19">
      <c r="A147" s="116"/>
      <c r="B147" s="117"/>
      <c r="C147" s="118"/>
      <c r="D147" s="118"/>
      <c r="E147" s="119"/>
      <c r="F147" s="118"/>
      <c r="G147" s="120"/>
      <c r="H147" s="121"/>
      <c r="I147" s="121"/>
      <c r="J147" s="121"/>
      <c r="K147" s="121"/>
      <c r="L147" s="38"/>
      <c r="M147" s="38"/>
      <c r="N147" s="38"/>
      <c r="O147" s="122"/>
      <c r="Q147" s="136"/>
      <c r="R147" s="134"/>
      <c r="S147" s="135"/>
    </row>
    <row r="148" spans="1:19">
      <c r="A148" s="116"/>
      <c r="B148" s="117"/>
      <c r="C148" s="118"/>
      <c r="D148" s="118"/>
      <c r="E148" s="119"/>
      <c r="F148" s="118"/>
      <c r="G148" s="120"/>
      <c r="H148" s="121"/>
      <c r="I148" s="121"/>
      <c r="J148" s="121"/>
      <c r="K148" s="121"/>
      <c r="L148" s="38"/>
      <c r="M148" s="38"/>
      <c r="N148" s="38"/>
      <c r="O148" s="122"/>
      <c r="Q148" s="136"/>
      <c r="R148" s="134"/>
      <c r="S148" s="135"/>
    </row>
    <row r="149" spans="1:19">
      <c r="A149" s="116"/>
      <c r="B149" s="117"/>
      <c r="C149" s="118"/>
      <c r="D149" s="118"/>
      <c r="E149" s="119"/>
      <c r="F149" s="118"/>
      <c r="G149" s="120"/>
      <c r="H149" s="121"/>
      <c r="I149" s="121"/>
      <c r="J149" s="121"/>
      <c r="K149" s="121"/>
      <c r="L149" s="38"/>
      <c r="M149" s="38"/>
      <c r="N149" s="38"/>
      <c r="O149" s="122"/>
      <c r="Q149" s="136"/>
      <c r="R149" s="134"/>
      <c r="S149" s="135"/>
    </row>
    <row r="150" spans="1:19">
      <c r="A150" s="116"/>
      <c r="B150" s="117"/>
      <c r="C150" s="118"/>
      <c r="D150" s="118"/>
      <c r="E150" s="119"/>
      <c r="F150" s="118"/>
      <c r="G150" s="120"/>
      <c r="H150" s="121"/>
      <c r="I150" s="121"/>
      <c r="J150" s="121"/>
      <c r="K150" s="121"/>
      <c r="L150" s="38"/>
      <c r="M150" s="38"/>
      <c r="N150" s="38"/>
      <c r="O150" s="122"/>
      <c r="Q150" s="136"/>
      <c r="R150" s="134"/>
      <c r="S150" s="135"/>
    </row>
    <row r="151" spans="1:19">
      <c r="A151" s="116"/>
      <c r="B151" s="117"/>
      <c r="C151" s="118"/>
      <c r="D151" s="118"/>
      <c r="E151" s="119"/>
      <c r="F151" s="118"/>
      <c r="G151" s="120"/>
      <c r="H151" s="121"/>
      <c r="I151" s="121"/>
      <c r="J151" s="121"/>
      <c r="K151" s="121"/>
      <c r="L151" s="38"/>
      <c r="M151" s="38"/>
      <c r="N151" s="38"/>
      <c r="O151" s="122"/>
      <c r="Q151" s="136"/>
      <c r="R151" s="134"/>
      <c r="S151" s="135"/>
    </row>
    <row r="152" spans="1:19">
      <c r="A152" s="116"/>
      <c r="B152" s="117"/>
      <c r="C152" s="118"/>
      <c r="D152" s="118"/>
      <c r="E152" s="119"/>
      <c r="F152" s="118"/>
      <c r="G152" s="120"/>
      <c r="H152" s="121"/>
      <c r="I152" s="121"/>
      <c r="J152" s="121"/>
      <c r="K152" s="121"/>
      <c r="L152" s="38"/>
      <c r="M152" s="38"/>
      <c r="N152" s="38"/>
      <c r="O152" s="122"/>
      <c r="Q152" s="136"/>
      <c r="R152" s="134"/>
      <c r="S152" s="135"/>
    </row>
    <row r="153" spans="1:19">
      <c r="A153" s="116"/>
      <c r="B153" s="117"/>
      <c r="C153" s="118"/>
      <c r="D153" s="118"/>
      <c r="E153" s="119"/>
      <c r="F153" s="118"/>
      <c r="G153" s="120"/>
      <c r="H153" s="121"/>
      <c r="I153" s="121"/>
      <c r="J153" s="121"/>
      <c r="K153" s="121"/>
      <c r="L153" s="38"/>
      <c r="M153" s="38"/>
      <c r="N153" s="38"/>
      <c r="O153" s="122"/>
      <c r="Q153" s="136"/>
      <c r="R153" s="134"/>
      <c r="S153" s="135"/>
    </row>
    <row r="154" spans="1:19">
      <c r="A154" s="116"/>
      <c r="B154" s="117"/>
      <c r="C154" s="118"/>
      <c r="D154" s="118"/>
      <c r="E154" s="119"/>
      <c r="F154" s="118"/>
      <c r="G154" s="120"/>
      <c r="H154" s="121"/>
      <c r="I154" s="121"/>
      <c r="J154" s="121"/>
      <c r="K154" s="121"/>
      <c r="L154" s="38"/>
      <c r="M154" s="38"/>
      <c r="N154" s="38"/>
      <c r="O154" s="122"/>
      <c r="Q154" s="136"/>
      <c r="R154" s="134"/>
      <c r="S154" s="135"/>
    </row>
    <row r="155" spans="1:19">
      <c r="A155" s="116"/>
      <c r="B155" s="117"/>
      <c r="C155" s="118"/>
      <c r="D155" s="118"/>
      <c r="E155" s="119"/>
      <c r="F155" s="118"/>
      <c r="G155" s="120"/>
      <c r="H155" s="121"/>
      <c r="I155" s="121"/>
      <c r="J155" s="121"/>
      <c r="K155" s="121"/>
      <c r="L155" s="38"/>
      <c r="M155" s="38"/>
      <c r="N155" s="38"/>
      <c r="O155" s="122"/>
      <c r="Q155" s="136"/>
      <c r="R155" s="134"/>
      <c r="S155" s="135"/>
    </row>
    <row r="156" spans="1:19">
      <c r="A156" s="116"/>
      <c r="B156" s="117"/>
      <c r="C156" s="118"/>
      <c r="D156" s="118"/>
      <c r="E156" s="119"/>
      <c r="F156" s="118"/>
      <c r="G156" s="120"/>
      <c r="H156" s="121"/>
      <c r="I156" s="121"/>
      <c r="J156" s="121"/>
      <c r="K156" s="121"/>
      <c r="L156" s="38"/>
      <c r="M156" s="38"/>
      <c r="N156" s="38"/>
      <c r="O156" s="122"/>
      <c r="Q156" s="136"/>
      <c r="R156" s="134"/>
      <c r="S156" s="135"/>
    </row>
    <row r="157" spans="1:19">
      <c r="A157" s="116"/>
      <c r="B157" s="117"/>
      <c r="C157" s="118"/>
      <c r="D157" s="118"/>
      <c r="E157" s="119"/>
      <c r="F157" s="118"/>
      <c r="G157" s="120"/>
      <c r="H157" s="121"/>
      <c r="I157" s="121"/>
      <c r="J157" s="121"/>
      <c r="K157" s="121"/>
      <c r="L157" s="38"/>
      <c r="M157" s="38"/>
      <c r="N157" s="38"/>
      <c r="O157" s="122"/>
      <c r="Q157" s="136"/>
      <c r="R157" s="134"/>
      <c r="S157" s="135"/>
    </row>
    <row r="158" spans="1:19">
      <c r="A158" s="116"/>
      <c r="B158" s="117"/>
      <c r="C158" s="118"/>
      <c r="D158" s="118"/>
      <c r="E158" s="119"/>
      <c r="F158" s="118"/>
      <c r="G158" s="120"/>
      <c r="H158" s="121"/>
      <c r="I158" s="121"/>
      <c r="J158" s="121"/>
      <c r="K158" s="121"/>
      <c r="L158" s="38"/>
      <c r="M158" s="38"/>
      <c r="N158" s="38"/>
      <c r="O158" s="122"/>
      <c r="Q158" s="136"/>
      <c r="R158" s="134"/>
      <c r="S158" s="135"/>
    </row>
    <row r="159" spans="1:19">
      <c r="A159" s="116"/>
      <c r="B159" s="117"/>
      <c r="C159" s="118"/>
      <c r="D159" s="118"/>
      <c r="E159" s="119"/>
      <c r="F159" s="118"/>
      <c r="G159" s="120"/>
      <c r="H159" s="121"/>
      <c r="I159" s="121"/>
      <c r="J159" s="121"/>
      <c r="K159" s="121"/>
      <c r="L159" s="38"/>
      <c r="M159" s="38"/>
      <c r="N159" s="38"/>
      <c r="O159" s="122"/>
      <c r="Q159" s="136"/>
      <c r="R159" s="134"/>
      <c r="S159" s="135"/>
    </row>
    <row r="160" spans="1:19">
      <c r="A160" s="116"/>
      <c r="B160" s="117"/>
      <c r="C160" s="118"/>
      <c r="D160" s="118"/>
      <c r="E160" s="119"/>
      <c r="F160" s="118"/>
      <c r="G160" s="120"/>
      <c r="H160" s="121"/>
      <c r="I160" s="121"/>
      <c r="J160" s="121"/>
      <c r="K160" s="121"/>
      <c r="L160" s="38"/>
      <c r="M160" s="38"/>
      <c r="N160" s="38"/>
      <c r="O160" s="122"/>
      <c r="Q160" s="136"/>
      <c r="R160" s="134"/>
      <c r="S160" s="135"/>
    </row>
    <row r="161" spans="1:19">
      <c r="A161" s="116"/>
      <c r="B161" s="117"/>
      <c r="C161" s="118"/>
      <c r="D161" s="118"/>
      <c r="E161" s="119"/>
      <c r="F161" s="118"/>
      <c r="G161" s="120"/>
      <c r="H161" s="121"/>
      <c r="I161" s="121"/>
      <c r="J161" s="121"/>
      <c r="K161" s="121"/>
      <c r="L161" s="38"/>
      <c r="M161" s="38"/>
      <c r="N161" s="38"/>
      <c r="O161" s="122"/>
      <c r="Q161" s="136"/>
      <c r="R161" s="134"/>
      <c r="S161" s="135"/>
    </row>
    <row r="162" spans="1:19">
      <c r="A162" s="116"/>
      <c r="B162" s="117"/>
      <c r="C162" s="118"/>
      <c r="D162" s="118"/>
      <c r="E162" s="119"/>
      <c r="F162" s="118"/>
      <c r="G162" s="120"/>
      <c r="H162" s="121"/>
      <c r="I162" s="121"/>
      <c r="J162" s="121"/>
      <c r="K162" s="121"/>
      <c r="L162" s="38"/>
      <c r="M162" s="38"/>
      <c r="N162" s="38"/>
      <c r="O162" s="122"/>
      <c r="Q162" s="136"/>
      <c r="R162" s="134"/>
      <c r="S162" s="135"/>
    </row>
    <row r="163" spans="1:19">
      <c r="A163" s="116"/>
      <c r="B163" s="117"/>
      <c r="C163" s="118"/>
      <c r="D163" s="118"/>
      <c r="E163" s="119"/>
      <c r="F163" s="118"/>
      <c r="G163" s="120"/>
      <c r="H163" s="121"/>
      <c r="I163" s="121"/>
      <c r="J163" s="121"/>
      <c r="K163" s="121"/>
      <c r="L163" s="38"/>
      <c r="M163" s="38"/>
      <c r="N163" s="38"/>
      <c r="O163" s="122"/>
      <c r="Q163" s="136"/>
      <c r="R163" s="134"/>
      <c r="S163" s="135"/>
    </row>
    <row r="164" spans="1:19">
      <c r="A164" s="116"/>
      <c r="B164" s="117"/>
      <c r="C164" s="118"/>
      <c r="D164" s="118"/>
      <c r="E164" s="119"/>
      <c r="F164" s="118"/>
      <c r="G164" s="120"/>
      <c r="H164" s="121"/>
      <c r="I164" s="121"/>
      <c r="J164" s="121"/>
      <c r="K164" s="121"/>
      <c r="L164" s="38"/>
      <c r="M164" s="38"/>
      <c r="N164" s="38"/>
      <c r="O164" s="122"/>
      <c r="Q164" s="136"/>
      <c r="R164" s="134"/>
      <c r="S164" s="135"/>
    </row>
    <row r="165" spans="1:19">
      <c r="A165" s="116"/>
      <c r="B165" s="117"/>
      <c r="C165" s="118"/>
      <c r="D165" s="118"/>
      <c r="E165" s="119"/>
      <c r="F165" s="118"/>
      <c r="G165" s="120"/>
      <c r="H165" s="121"/>
      <c r="I165" s="121"/>
      <c r="J165" s="121"/>
      <c r="K165" s="121"/>
      <c r="L165" s="38"/>
      <c r="M165" s="38"/>
      <c r="N165" s="38"/>
      <c r="O165" s="122"/>
      <c r="Q165" s="136"/>
      <c r="R165" s="134"/>
      <c r="S165" s="135"/>
    </row>
    <row r="166" spans="1:19">
      <c r="A166" s="116"/>
      <c r="B166" s="117"/>
      <c r="C166" s="118"/>
      <c r="D166" s="118"/>
      <c r="E166" s="119"/>
      <c r="F166" s="118"/>
      <c r="G166" s="120"/>
      <c r="H166" s="121"/>
      <c r="I166" s="121"/>
      <c r="J166" s="121"/>
      <c r="K166" s="121"/>
      <c r="L166" s="38"/>
      <c r="M166" s="38"/>
      <c r="N166" s="38"/>
      <c r="O166" s="122"/>
      <c r="Q166" s="136"/>
      <c r="R166" s="134"/>
      <c r="S166" s="135"/>
    </row>
    <row r="167" spans="1:19">
      <c r="A167" s="116"/>
      <c r="B167" s="117"/>
      <c r="C167" s="118"/>
      <c r="D167" s="118"/>
      <c r="E167" s="119"/>
      <c r="F167" s="118"/>
      <c r="G167" s="120"/>
      <c r="H167" s="121"/>
      <c r="I167" s="121"/>
      <c r="J167" s="121"/>
      <c r="K167" s="121"/>
      <c r="L167" s="38"/>
      <c r="M167" s="38"/>
      <c r="N167" s="38"/>
      <c r="O167" s="122"/>
      <c r="Q167" s="136"/>
      <c r="R167" s="134"/>
      <c r="S167" s="135"/>
    </row>
    <row r="168" spans="1:19">
      <c r="A168" s="116"/>
      <c r="B168" s="117"/>
      <c r="C168" s="118"/>
      <c r="D168" s="118"/>
      <c r="E168" s="119"/>
      <c r="F168" s="118"/>
      <c r="G168" s="120"/>
      <c r="H168" s="121"/>
      <c r="I168" s="121"/>
      <c r="J168" s="121"/>
      <c r="K168" s="121"/>
      <c r="L168" s="38"/>
      <c r="M168" s="38"/>
      <c r="N168" s="38"/>
      <c r="O168" s="122"/>
      <c r="Q168" s="136"/>
      <c r="R168" s="134"/>
      <c r="S168" s="135"/>
    </row>
    <row r="169" spans="1:19">
      <c r="A169" s="116"/>
      <c r="B169" s="117"/>
      <c r="C169" s="118"/>
      <c r="D169" s="118"/>
      <c r="E169" s="119"/>
      <c r="F169" s="118"/>
      <c r="G169" s="120"/>
      <c r="H169" s="121"/>
      <c r="I169" s="121"/>
      <c r="J169" s="121"/>
      <c r="K169" s="121"/>
      <c r="L169" s="38"/>
      <c r="M169" s="38"/>
      <c r="N169" s="38"/>
      <c r="O169" s="122"/>
      <c r="Q169" s="136"/>
      <c r="R169" s="134"/>
      <c r="S169" s="135"/>
    </row>
    <row r="170" spans="1:19">
      <c r="A170" s="116"/>
      <c r="B170" s="117"/>
      <c r="C170" s="118"/>
      <c r="D170" s="118"/>
      <c r="E170" s="119"/>
      <c r="F170" s="118"/>
      <c r="G170" s="120"/>
      <c r="H170" s="121"/>
      <c r="I170" s="121"/>
      <c r="J170" s="121"/>
      <c r="K170" s="121"/>
      <c r="L170" s="38"/>
      <c r="M170" s="38"/>
      <c r="N170" s="38"/>
      <c r="O170" s="122"/>
      <c r="Q170" s="136"/>
      <c r="R170" s="134"/>
      <c r="S170" s="135"/>
    </row>
    <row r="171" spans="1:19">
      <c r="A171" s="116"/>
      <c r="B171" s="117"/>
      <c r="C171" s="118"/>
      <c r="D171" s="118"/>
      <c r="E171" s="119"/>
      <c r="F171" s="118"/>
      <c r="G171" s="120"/>
      <c r="H171" s="121"/>
      <c r="I171" s="121"/>
      <c r="J171" s="121"/>
      <c r="K171" s="121"/>
      <c r="L171" s="38"/>
      <c r="M171" s="38"/>
      <c r="N171" s="38"/>
      <c r="O171" s="122"/>
      <c r="Q171" s="136"/>
      <c r="R171" s="134"/>
      <c r="S171" s="135"/>
    </row>
    <row r="172" spans="1:19">
      <c r="A172" s="116"/>
      <c r="B172" s="117"/>
      <c r="C172" s="118"/>
      <c r="D172" s="118"/>
      <c r="E172" s="119"/>
      <c r="F172" s="118"/>
      <c r="G172" s="120"/>
      <c r="H172" s="121"/>
      <c r="I172" s="121"/>
      <c r="J172" s="121"/>
      <c r="K172" s="121"/>
      <c r="L172" s="38"/>
      <c r="M172" s="38"/>
      <c r="N172" s="38"/>
      <c r="O172" s="122"/>
      <c r="Q172" s="136"/>
      <c r="R172" s="134"/>
      <c r="S172" s="135"/>
    </row>
    <row r="173" spans="1:19">
      <c r="A173" s="116"/>
      <c r="B173" s="117"/>
      <c r="C173" s="118"/>
      <c r="D173" s="118"/>
      <c r="E173" s="119"/>
      <c r="F173" s="118"/>
      <c r="G173" s="120"/>
      <c r="H173" s="121"/>
      <c r="I173" s="121"/>
      <c r="J173" s="121"/>
      <c r="K173" s="121"/>
      <c r="L173" s="38"/>
      <c r="M173" s="38"/>
      <c r="N173" s="38"/>
      <c r="O173" s="122"/>
      <c r="Q173" s="136"/>
      <c r="R173" s="134"/>
      <c r="S173" s="135"/>
    </row>
    <row r="174" spans="1:19">
      <c r="A174" s="116"/>
      <c r="B174" s="117"/>
      <c r="C174" s="118"/>
      <c r="D174" s="118"/>
      <c r="E174" s="119"/>
      <c r="F174" s="118"/>
      <c r="G174" s="120"/>
      <c r="H174" s="121"/>
      <c r="I174" s="121"/>
      <c r="J174" s="121"/>
      <c r="K174" s="121"/>
      <c r="L174" s="38"/>
      <c r="M174" s="38"/>
      <c r="N174" s="38"/>
      <c r="O174" s="122"/>
      <c r="Q174" s="136"/>
      <c r="R174" s="134"/>
      <c r="S174" s="135"/>
    </row>
    <row r="175" spans="1:19">
      <c r="A175" s="116"/>
      <c r="B175" s="117"/>
      <c r="C175" s="118"/>
      <c r="D175" s="118"/>
      <c r="E175" s="119"/>
      <c r="F175" s="118"/>
      <c r="G175" s="120"/>
      <c r="H175" s="121"/>
      <c r="I175" s="121"/>
      <c r="J175" s="121"/>
      <c r="K175" s="121"/>
      <c r="L175" s="38"/>
      <c r="M175" s="38"/>
      <c r="N175" s="38"/>
      <c r="O175" s="122"/>
      <c r="Q175" s="136"/>
      <c r="R175" s="134"/>
      <c r="S175" s="135"/>
    </row>
    <row r="176" spans="1:19">
      <c r="A176" s="116"/>
      <c r="B176" s="117"/>
      <c r="C176" s="118"/>
      <c r="D176" s="118"/>
      <c r="E176" s="119"/>
      <c r="F176" s="118"/>
      <c r="G176" s="120"/>
      <c r="H176" s="121"/>
      <c r="I176" s="121"/>
      <c r="J176" s="121"/>
      <c r="K176" s="121"/>
      <c r="L176" s="38"/>
      <c r="M176" s="38"/>
      <c r="N176" s="38"/>
      <c r="O176" s="122"/>
      <c r="Q176" s="136"/>
      <c r="R176" s="134"/>
      <c r="S176" s="135"/>
    </row>
    <row r="177" spans="1:19">
      <c r="A177" s="116"/>
      <c r="B177" s="117"/>
      <c r="C177" s="118"/>
      <c r="D177" s="118"/>
      <c r="E177" s="119"/>
      <c r="F177" s="118"/>
      <c r="G177" s="120"/>
      <c r="H177" s="121"/>
      <c r="I177" s="121"/>
      <c r="J177" s="121"/>
      <c r="K177" s="121"/>
      <c r="L177" s="38"/>
      <c r="M177" s="38"/>
      <c r="N177" s="38"/>
      <c r="O177" s="122"/>
      <c r="Q177" s="136"/>
      <c r="R177" s="134"/>
      <c r="S177" s="135"/>
    </row>
    <row r="178" spans="1:19">
      <c r="A178" s="116"/>
      <c r="B178" s="117"/>
      <c r="C178" s="118"/>
      <c r="D178" s="118"/>
      <c r="E178" s="119"/>
      <c r="F178" s="118"/>
      <c r="G178" s="120"/>
      <c r="H178" s="121"/>
      <c r="I178" s="121"/>
      <c r="J178" s="121"/>
      <c r="K178" s="121"/>
      <c r="L178" s="38"/>
      <c r="M178" s="38"/>
      <c r="N178" s="38"/>
      <c r="O178" s="122"/>
      <c r="Q178" s="136"/>
      <c r="R178" s="134"/>
      <c r="S178" s="135"/>
    </row>
    <row r="179" spans="1:19">
      <c r="A179" s="116"/>
      <c r="B179" s="117"/>
      <c r="C179" s="118"/>
      <c r="D179" s="118"/>
      <c r="E179" s="119"/>
      <c r="F179" s="118"/>
      <c r="G179" s="120"/>
      <c r="H179" s="121"/>
      <c r="I179" s="121"/>
      <c r="J179" s="121"/>
      <c r="K179" s="121"/>
      <c r="L179" s="38"/>
      <c r="M179" s="38"/>
      <c r="N179" s="38"/>
      <c r="O179" s="122"/>
      <c r="Q179" s="136"/>
      <c r="R179" s="134"/>
      <c r="S179" s="135"/>
    </row>
    <row r="180" spans="1:19">
      <c r="A180" s="116"/>
      <c r="B180" s="117"/>
      <c r="C180" s="118"/>
      <c r="D180" s="118"/>
      <c r="E180" s="119"/>
      <c r="F180" s="118"/>
      <c r="G180" s="120"/>
      <c r="H180" s="121"/>
      <c r="I180" s="121"/>
      <c r="J180" s="121"/>
      <c r="K180" s="121"/>
      <c r="L180" s="38"/>
      <c r="M180" s="38"/>
      <c r="N180" s="38"/>
      <c r="O180" s="122"/>
      <c r="Q180" s="136"/>
      <c r="R180" s="134"/>
      <c r="S180" s="135"/>
    </row>
    <row r="181" spans="1:19">
      <c r="A181" s="116"/>
      <c r="B181" s="117"/>
      <c r="C181" s="118"/>
      <c r="D181" s="118"/>
      <c r="E181" s="119"/>
      <c r="F181" s="118"/>
      <c r="G181" s="120"/>
      <c r="H181" s="121"/>
      <c r="I181" s="121"/>
      <c r="J181" s="121"/>
      <c r="K181" s="121"/>
      <c r="L181" s="38"/>
      <c r="M181" s="38"/>
      <c r="N181" s="38"/>
      <c r="O181" s="122"/>
      <c r="Q181" s="136"/>
      <c r="R181" s="134"/>
      <c r="S181" s="135"/>
    </row>
    <row r="182" spans="1:19">
      <c r="A182" s="116"/>
      <c r="B182" s="117"/>
      <c r="C182" s="118"/>
      <c r="D182" s="118"/>
      <c r="E182" s="119"/>
      <c r="F182" s="118"/>
      <c r="G182" s="120"/>
      <c r="H182" s="121"/>
      <c r="I182" s="121"/>
      <c r="J182" s="121"/>
      <c r="K182" s="121"/>
      <c r="L182" s="38"/>
      <c r="M182" s="38"/>
      <c r="N182" s="38"/>
      <c r="O182" s="122"/>
      <c r="Q182" s="136"/>
      <c r="R182" s="134"/>
      <c r="S182" s="135"/>
    </row>
    <row r="183" spans="1:19">
      <c r="A183" s="116"/>
      <c r="B183" s="117"/>
      <c r="C183" s="118"/>
      <c r="D183" s="118"/>
      <c r="E183" s="119"/>
      <c r="F183" s="118"/>
      <c r="G183" s="120"/>
      <c r="H183" s="121"/>
      <c r="I183" s="121"/>
      <c r="J183" s="121"/>
      <c r="K183" s="121"/>
      <c r="L183" s="38"/>
      <c r="M183" s="38"/>
      <c r="N183" s="38"/>
      <c r="O183" s="122"/>
      <c r="Q183" s="136"/>
      <c r="R183" s="134"/>
      <c r="S183" s="135"/>
    </row>
    <row r="184" spans="1:19">
      <c r="A184" s="116"/>
      <c r="B184" s="117"/>
      <c r="C184" s="118"/>
      <c r="D184" s="118"/>
      <c r="E184" s="119"/>
      <c r="F184" s="118"/>
      <c r="G184" s="120"/>
      <c r="H184" s="121"/>
      <c r="I184" s="121"/>
      <c r="J184" s="121"/>
      <c r="K184" s="121"/>
      <c r="L184" s="38"/>
      <c r="M184" s="38"/>
      <c r="N184" s="38"/>
      <c r="O184" s="122"/>
      <c r="Q184" s="136"/>
      <c r="R184" s="134"/>
      <c r="S184" s="135"/>
    </row>
    <row r="185" spans="1:19">
      <c r="A185" s="116"/>
      <c r="B185" s="117"/>
      <c r="C185" s="118"/>
      <c r="D185" s="118"/>
      <c r="E185" s="119"/>
      <c r="F185" s="118"/>
      <c r="G185" s="120"/>
      <c r="H185" s="121"/>
      <c r="I185" s="121"/>
      <c r="J185" s="121"/>
      <c r="K185" s="121"/>
      <c r="L185" s="38"/>
      <c r="M185" s="38"/>
      <c r="N185" s="38"/>
      <c r="O185" s="122"/>
      <c r="Q185" s="136"/>
      <c r="R185" s="134"/>
      <c r="S185" s="135"/>
    </row>
    <row r="186" spans="1:19">
      <c r="A186" s="116"/>
      <c r="B186" s="117"/>
      <c r="C186" s="118"/>
      <c r="D186" s="118"/>
      <c r="E186" s="119"/>
      <c r="F186" s="118"/>
      <c r="G186" s="120"/>
      <c r="H186" s="121"/>
      <c r="I186" s="121"/>
      <c r="J186" s="121"/>
      <c r="K186" s="121"/>
      <c r="L186" s="38"/>
      <c r="M186" s="38"/>
      <c r="N186" s="38"/>
      <c r="O186" s="122"/>
      <c r="Q186" s="136"/>
      <c r="R186" s="134"/>
      <c r="S186" s="135"/>
    </row>
    <row r="187" spans="1:19">
      <c r="A187" s="116"/>
      <c r="B187" s="117"/>
      <c r="C187" s="118"/>
      <c r="D187" s="118"/>
      <c r="E187" s="119"/>
      <c r="F187" s="118"/>
      <c r="G187" s="120"/>
      <c r="H187" s="121"/>
      <c r="I187" s="121"/>
      <c r="J187" s="121"/>
      <c r="K187" s="121"/>
      <c r="L187" s="38"/>
      <c r="M187" s="38"/>
      <c r="N187" s="38"/>
      <c r="O187" s="122"/>
      <c r="Q187" s="136"/>
      <c r="R187" s="134"/>
      <c r="S187" s="135"/>
    </row>
    <row r="188" spans="1:19">
      <c r="A188" s="116"/>
      <c r="B188" s="117"/>
      <c r="C188" s="118"/>
      <c r="D188" s="118"/>
      <c r="E188" s="119"/>
      <c r="F188" s="118"/>
      <c r="G188" s="120"/>
      <c r="H188" s="121"/>
      <c r="I188" s="121"/>
      <c r="J188" s="121"/>
      <c r="K188" s="121"/>
      <c r="L188" s="38"/>
      <c r="M188" s="38"/>
      <c r="N188" s="38"/>
      <c r="O188" s="122"/>
      <c r="Q188" s="136"/>
      <c r="R188" s="134"/>
      <c r="S188" s="135"/>
    </row>
    <row r="189" spans="1:19">
      <c r="A189" s="116"/>
      <c r="B189" s="117"/>
      <c r="C189" s="118"/>
      <c r="D189" s="118"/>
      <c r="E189" s="119"/>
      <c r="F189" s="118"/>
      <c r="G189" s="120"/>
      <c r="H189" s="121"/>
      <c r="I189" s="121"/>
      <c r="J189" s="121"/>
      <c r="K189" s="121"/>
      <c r="L189" s="38"/>
      <c r="M189" s="38"/>
      <c r="N189" s="38"/>
      <c r="O189" s="122"/>
      <c r="Q189" s="136"/>
      <c r="R189" s="134"/>
      <c r="S189" s="135"/>
    </row>
    <row r="190" spans="1:19">
      <c r="A190" s="116"/>
      <c r="B190" s="117"/>
      <c r="C190" s="118"/>
      <c r="D190" s="118"/>
      <c r="E190" s="119"/>
      <c r="F190" s="118"/>
      <c r="G190" s="120"/>
      <c r="H190" s="121"/>
      <c r="I190" s="121"/>
      <c r="J190" s="121"/>
      <c r="K190" s="121"/>
      <c r="L190" s="38"/>
      <c r="M190" s="38"/>
      <c r="N190" s="38"/>
      <c r="O190" s="122"/>
      <c r="Q190" s="136"/>
      <c r="R190" s="134"/>
      <c r="S190" s="135"/>
    </row>
    <row r="191" spans="1:19">
      <c r="A191" s="116"/>
      <c r="B191" s="117"/>
      <c r="C191" s="118"/>
      <c r="D191" s="118"/>
      <c r="E191" s="119"/>
      <c r="F191" s="118"/>
      <c r="G191" s="120"/>
      <c r="H191" s="121"/>
      <c r="I191" s="121"/>
      <c r="J191" s="121"/>
      <c r="K191" s="121"/>
      <c r="L191" s="38"/>
      <c r="M191" s="38"/>
      <c r="N191" s="38"/>
      <c r="O191" s="122"/>
      <c r="Q191" s="136"/>
      <c r="R191" s="134"/>
      <c r="S191" s="135"/>
    </row>
    <row r="192" spans="1:19">
      <c r="A192" s="116"/>
      <c r="B192" s="117"/>
      <c r="C192" s="118"/>
      <c r="D192" s="118"/>
      <c r="E192" s="119"/>
      <c r="F192" s="118"/>
      <c r="G192" s="120"/>
      <c r="H192" s="121"/>
      <c r="I192" s="121"/>
      <c r="J192" s="121"/>
      <c r="K192" s="121"/>
      <c r="L192" s="38"/>
      <c r="M192" s="38"/>
      <c r="N192" s="38"/>
      <c r="O192" s="122"/>
      <c r="Q192" s="136"/>
      <c r="R192" s="134"/>
      <c r="S192" s="135"/>
    </row>
    <row r="193" spans="1:19">
      <c r="A193" s="116"/>
      <c r="B193" s="117"/>
      <c r="C193" s="118"/>
      <c r="D193" s="118"/>
      <c r="E193" s="119"/>
      <c r="F193" s="118"/>
      <c r="G193" s="120"/>
      <c r="H193" s="121"/>
      <c r="I193" s="121"/>
      <c r="J193" s="121"/>
      <c r="K193" s="121"/>
      <c r="L193" s="38"/>
      <c r="M193" s="38"/>
      <c r="N193" s="38"/>
      <c r="O193" s="122"/>
      <c r="Q193" s="136"/>
      <c r="R193" s="134"/>
      <c r="S193" s="135"/>
    </row>
    <row r="194" spans="1:19">
      <c r="A194" s="116"/>
      <c r="B194" s="117"/>
      <c r="C194" s="118"/>
      <c r="D194" s="118"/>
      <c r="E194" s="119"/>
      <c r="F194" s="118"/>
      <c r="G194" s="120"/>
      <c r="H194" s="121"/>
      <c r="I194" s="121"/>
      <c r="J194" s="121"/>
      <c r="K194" s="121"/>
      <c r="L194" s="38"/>
      <c r="M194" s="38"/>
      <c r="N194" s="38"/>
      <c r="O194" s="122"/>
      <c r="Q194" s="136"/>
      <c r="R194" s="134"/>
      <c r="S194" s="135"/>
    </row>
    <row r="195" spans="1:19">
      <c r="A195" s="116"/>
      <c r="B195" s="117"/>
      <c r="C195" s="118"/>
      <c r="D195" s="118"/>
      <c r="E195" s="119"/>
      <c r="F195" s="118"/>
      <c r="G195" s="120"/>
      <c r="H195" s="121"/>
      <c r="I195" s="121"/>
      <c r="J195" s="121"/>
      <c r="K195" s="121"/>
      <c r="L195" s="38"/>
      <c r="M195" s="38"/>
      <c r="N195" s="38"/>
      <c r="O195" s="122"/>
      <c r="Q195" s="136"/>
      <c r="R195" s="134"/>
      <c r="S195" s="135"/>
    </row>
    <row r="196" spans="1:19">
      <c r="A196" s="116"/>
      <c r="B196" s="117"/>
      <c r="C196" s="118"/>
      <c r="D196" s="118"/>
      <c r="E196" s="119"/>
      <c r="F196" s="118"/>
      <c r="G196" s="120"/>
      <c r="H196" s="121"/>
      <c r="I196" s="121"/>
      <c r="J196" s="121"/>
      <c r="K196" s="121"/>
      <c r="L196" s="38"/>
      <c r="M196" s="38"/>
      <c r="N196" s="38"/>
      <c r="O196" s="122"/>
      <c r="Q196" s="136"/>
      <c r="R196" s="134"/>
      <c r="S196" s="135"/>
    </row>
    <row r="197" spans="1:19">
      <c r="A197" s="116"/>
      <c r="B197" s="117"/>
      <c r="C197" s="118"/>
      <c r="D197" s="118"/>
      <c r="E197" s="119"/>
      <c r="F197" s="118"/>
      <c r="G197" s="120"/>
      <c r="H197" s="121"/>
      <c r="I197" s="121"/>
      <c r="J197" s="121"/>
      <c r="K197" s="121"/>
      <c r="L197" s="38"/>
      <c r="M197" s="38"/>
      <c r="N197" s="38"/>
      <c r="O197" s="122"/>
      <c r="Q197" s="136"/>
      <c r="R197" s="134"/>
      <c r="S197" s="135"/>
    </row>
    <row r="198" spans="1:19">
      <c r="A198" s="116"/>
      <c r="B198" s="117"/>
      <c r="C198" s="118"/>
      <c r="D198" s="118"/>
      <c r="E198" s="119"/>
      <c r="F198" s="118"/>
      <c r="G198" s="120"/>
      <c r="H198" s="121"/>
      <c r="I198" s="121"/>
      <c r="J198" s="121"/>
      <c r="K198" s="121"/>
      <c r="L198" s="38"/>
      <c r="M198" s="38"/>
      <c r="N198" s="38"/>
      <c r="O198" s="122"/>
      <c r="Q198" s="136"/>
      <c r="R198" s="134"/>
      <c r="S198" s="135"/>
    </row>
    <row r="199" spans="1:19">
      <c r="A199" s="116"/>
      <c r="B199" s="117"/>
      <c r="C199" s="118"/>
      <c r="D199" s="118"/>
      <c r="E199" s="119"/>
      <c r="F199" s="118"/>
      <c r="G199" s="120"/>
      <c r="H199" s="121"/>
      <c r="I199" s="121"/>
      <c r="J199" s="121"/>
      <c r="K199" s="121"/>
      <c r="L199" s="38"/>
      <c r="M199" s="38"/>
      <c r="N199" s="38"/>
      <c r="O199" s="122"/>
      <c r="Q199" s="136"/>
      <c r="R199" s="134"/>
      <c r="S199" s="135"/>
    </row>
    <row r="200" spans="1:19">
      <c r="A200" s="116"/>
      <c r="B200" s="117"/>
      <c r="C200" s="118"/>
      <c r="D200" s="118"/>
      <c r="E200" s="119"/>
      <c r="F200" s="118"/>
      <c r="G200" s="120"/>
      <c r="H200" s="121"/>
      <c r="I200" s="121"/>
      <c r="J200" s="121"/>
      <c r="K200" s="121"/>
      <c r="L200" s="38"/>
      <c r="M200" s="38"/>
      <c r="N200" s="38"/>
      <c r="O200" s="122"/>
      <c r="Q200" s="136"/>
      <c r="R200" s="134"/>
      <c r="S200" s="135"/>
    </row>
    <row r="201" spans="1:19" ht="24" thickBot="1">
      <c r="A201" s="124"/>
      <c r="B201" s="125"/>
      <c r="C201" s="126"/>
      <c r="D201" s="126"/>
      <c r="E201" s="127"/>
      <c r="F201" s="126"/>
      <c r="G201" s="128"/>
      <c r="H201" s="129"/>
      <c r="I201" s="129"/>
      <c r="J201" s="129"/>
      <c r="K201" s="129"/>
      <c r="L201" s="130"/>
      <c r="M201" s="130"/>
      <c r="N201" s="130"/>
      <c r="O201" s="131"/>
      <c r="Q201" s="137"/>
      <c r="R201" s="138"/>
      <c r="S201" s="139"/>
    </row>
  </sheetData>
  <sheetProtection formatCells="0" formatColumns="0" formatRows="0" insertColumns="0" insertRows="0" insertHyperlinks="0" deleteColumns="0" deleteRows="0" sort="0" autoFilter="0" pivotTables="0"/>
  <autoFilter ref="A1:P19">
    <filterColumn colId="7">
      <filters>
        <filter val="Wouter"/>
      </filters>
    </filterColumn>
    <sortState ref="A5:P27">
      <sortCondition descending="1" ref="C2:C27"/>
      <sortCondition ref="D2:D27"/>
    </sortState>
  </autoFilter>
  <sortState ref="A2:BA25">
    <sortCondition ref="E2:E25"/>
  </sortState>
  <conditionalFormatting sqref="J51:M1048576 J1:K1 L35:M50 J2:M4 J6:L16 J17:K22 K23:K25 J23:J28">
    <cfRule type="colorScale" priority="38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35:G1048576">
    <cfRule type="iconSet" priority="737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38">
      <iconSet iconSet="3Flags">
        <cfvo type="percent" val="0"/>
        <cfvo type="percent" val="33"/>
        <cfvo type="percent" val="67"/>
      </iconSet>
    </cfRule>
  </conditionalFormatting>
  <conditionalFormatting sqref="L17:L25">
    <cfRule type="colorScale" priority="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 G6:G28">
    <cfRule type="iconSet" priority="1062">
      <iconSet iconSet="3TrafficLights2">
        <cfvo type="percent" val="0"/>
        <cfvo type="num" val="0"/>
        <cfvo type="num" val="7"/>
      </iconSet>
    </cfRule>
    <cfRule type="iconSet" priority="1063">
      <iconSet>
        <cfvo type="percent" val="0"/>
        <cfvo type="num" val="0"/>
        <cfvo type="num" val="14"/>
      </iconSet>
    </cfRule>
    <cfRule type="iconSet" priority="1064">
      <iconSet iconSet="3TrafficLights2">
        <cfvo type="percent" val="0"/>
        <cfvo type="num" val="0"/>
        <cfvo type="num" val="14"/>
      </iconSet>
    </cfRule>
    <cfRule type="iconSet" priority="1065">
      <iconSet iconSet="3TrafficLights2">
        <cfvo type="percent" val="0"/>
        <cfvo type="num" val="0"/>
        <cfvo type="num" val="8"/>
      </iconSet>
    </cfRule>
  </conditionalFormatting>
  <conditionalFormatting sqref="J2:K4 K23:K25 J23:J28 J6:K22">
    <cfRule type="colorScale" priority="10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4 K23:K25 J23:J28 J6:K22">
    <cfRule type="colorScale" priority="10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3">
      <colorScale>
        <cfvo type="num" val="0"/>
        <cfvo type="num" val="100"/>
        <color rgb="FF008000"/>
        <color rgb="FFFF0000"/>
      </colorScale>
    </cfRule>
  </conditionalFormatting>
  <conditionalFormatting sqref="D6:D28">
    <cfRule type="containsText" dxfId="34" priority="1076" operator="containsText" text="Very Low">
      <formula>NOT(ISERROR(SEARCH("Very Low",D6)))</formula>
    </cfRule>
    <cfRule type="containsText" dxfId="33" priority="1077" operator="containsText" text="Low">
      <formula>NOT(ISERROR(SEARCH("Low",D6)))</formula>
    </cfRule>
    <cfRule type="containsText" dxfId="32" priority="1078" operator="containsText" text="Medium">
      <formula>NOT(ISERROR(SEARCH("Medium",D6)))</formula>
    </cfRule>
    <cfRule type="containsText" dxfId="31" priority="1079" operator="containsText" text="High">
      <formula>NOT(ISERROR(SEARCH("High",D6)))</formula>
    </cfRule>
    <cfRule type="containsText" dxfId="30" priority="1080" operator="containsText" text="Critical">
      <formula>NOT(ISERROR(SEARCH("Critical",D6)))</formula>
    </cfRule>
    <cfRule type="colorScale" priority="108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29:K34 K26:K28">
    <cfRule type="colorScale" priority="1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26:L34">
    <cfRule type="colorScale" priority="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9:G34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J29:K34 K26:K2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:K34 K26:K2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num" val="0"/>
        <cfvo type="num" val="100"/>
        <color rgb="FF008000"/>
        <color rgb="FFFF0000"/>
      </colorScale>
    </cfRule>
  </conditionalFormatting>
  <conditionalFormatting sqref="D29:D34">
    <cfRule type="containsText" dxfId="76" priority="26" operator="containsText" text="Very Low">
      <formula>NOT(ISERROR(SEARCH("Very Low",D29)))</formula>
    </cfRule>
    <cfRule type="containsText" dxfId="75" priority="27" operator="containsText" text="Low">
      <formula>NOT(ISERROR(SEARCH("Low",D29)))</formula>
    </cfRule>
    <cfRule type="containsText" dxfId="74" priority="28" operator="containsText" text="Medium">
      <formula>NOT(ISERROR(SEARCH("Medium",D29)))</formula>
    </cfRule>
    <cfRule type="containsText" dxfId="73" priority="29" operator="containsText" text="High">
      <formula>NOT(ISERROR(SEARCH("High",D29)))</formula>
    </cfRule>
    <cfRule type="containsText" dxfId="72" priority="30" operator="containsText" text="Critical">
      <formula>NOT(ISERROR(SEARCH("Critical",D29)))</formula>
    </cfRule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8:S251">
    <cfRule type="expression" dxfId="29" priority="16">
      <formula>$J8=100</formula>
    </cfRule>
  </conditionalFormatting>
  <conditionalFormatting sqref="J5:L5">
    <cfRule type="colorScale" priority="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5">
    <cfRule type="iconSet" priority="3">
      <iconSet iconSet="3TrafficLights2">
        <cfvo type="percent" val="0"/>
        <cfvo type="num" val="0"/>
        <cfvo type="num" val="7"/>
      </iconSet>
    </cfRule>
    <cfRule type="iconSet" priority="4">
      <iconSet>
        <cfvo type="percent" val="0"/>
        <cfvo type="num" val="0"/>
        <cfvo type="num" val="14"/>
      </iconSet>
    </cfRule>
    <cfRule type="iconSet" priority="5">
      <iconSet iconSet="3TrafficLights2">
        <cfvo type="percent" val="0"/>
        <cfvo type="num" val="0"/>
        <cfvo type="num" val="14"/>
      </iconSet>
    </cfRule>
    <cfRule type="iconSet" priority="6">
      <iconSet iconSet="3TrafficLights2">
        <cfvo type="percent" val="0"/>
        <cfvo type="num" val="0"/>
        <cfvo type="num" val="8"/>
      </iconSet>
    </cfRule>
  </conditionalFormatting>
  <conditionalFormatting sqref="J5:K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K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num" val="0"/>
        <cfvo type="num" val="100"/>
        <color rgb="FF008000"/>
        <color rgb="FFFF0000"/>
      </colorScale>
    </cfRule>
  </conditionalFormatting>
  <conditionalFormatting sqref="D5">
    <cfRule type="containsText" dxfId="28" priority="10" operator="containsText" text="Very Low">
      <formula>NOT(ISERROR(SEARCH("Very Low",D5)))</formula>
    </cfRule>
    <cfRule type="containsText" dxfId="27" priority="11" operator="containsText" text="Low">
      <formula>NOT(ISERROR(SEARCH("Low",D5)))</formula>
    </cfRule>
    <cfRule type="containsText" dxfId="26" priority="12" operator="containsText" text="Medium">
      <formula>NOT(ISERROR(SEARCH("Medium",D5)))</formula>
    </cfRule>
    <cfRule type="containsText" dxfId="25" priority="13" operator="containsText" text="High">
      <formula>NOT(ISERROR(SEARCH("High",D5)))</formula>
    </cfRule>
    <cfRule type="containsText" dxfId="24" priority="14" operator="containsText" text="Critical">
      <formula>NOT(ISERROR(SEARCH("Critical",D5)))</formula>
    </cfRule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5:S5">
    <cfRule type="expression" dxfId="23" priority="1">
      <formula>$J5=100</formula>
    </cfRule>
  </conditionalFormatting>
  <dataValidations count="1">
    <dataValidation type="list" allowBlank="1" showInputMessage="1" showErrorMessage="1" sqref="B2:B28">
      <formula1>$B$35:$B$40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D5:D28</xm:sqref>
        </x14:dataValidation>
        <x14:dataValidation type="list" allowBlank="1" showInputMessage="1" showErrorMessage="1">
          <x14:formula1>
            <xm:f>Goals!$A$2:$A$17</xm:f>
          </x14:formula1>
          <xm:sqref>C5:C28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tabSelected="1" workbookViewId="0">
      <selection activeCell="B2" sqref="B2"/>
    </sheetView>
  </sheetViews>
  <sheetFormatPr defaultRowHeight="15"/>
  <cols>
    <col min="1" max="1" width="39.7109375" style="40" customWidth="1"/>
    <col min="2" max="2" width="27.7109375" style="40" customWidth="1"/>
    <col min="3" max="3" width="27.7109375" style="40" hidden="1" customWidth="1"/>
    <col min="4" max="4" width="27.7109375" style="40" customWidth="1"/>
    <col min="5" max="16384" width="9.140625" style="40"/>
  </cols>
  <sheetData>
    <row r="1" spans="1:3" ht="15.75" thickBot="1">
      <c r="A1" s="84" t="s">
        <v>45</v>
      </c>
      <c r="B1" s="84" t="s">
        <v>0</v>
      </c>
    </row>
    <row r="2" spans="1:3">
      <c r="A2" s="41" t="s">
        <v>52</v>
      </c>
      <c r="B2" s="46" t="s">
        <v>87</v>
      </c>
    </row>
    <row r="3" spans="1:3">
      <c r="A3" s="42" t="s">
        <v>53</v>
      </c>
      <c r="B3" s="47" t="s">
        <v>88</v>
      </c>
    </row>
    <row r="4" spans="1:3">
      <c r="A4" s="42" t="s">
        <v>54</v>
      </c>
      <c r="B4" s="47" t="s">
        <v>64</v>
      </c>
    </row>
    <row r="5" spans="1:3" ht="30">
      <c r="A5" s="42" t="s">
        <v>55</v>
      </c>
      <c r="B5" s="47" t="s">
        <v>64</v>
      </c>
    </row>
    <row r="6" spans="1:3">
      <c r="A6" s="42" t="s">
        <v>56</v>
      </c>
      <c r="B6" s="47" t="s">
        <v>64</v>
      </c>
    </row>
    <row r="7" spans="1:3">
      <c r="A7" s="42" t="s">
        <v>57</v>
      </c>
      <c r="B7" s="47" t="s">
        <v>64</v>
      </c>
    </row>
    <row r="8" spans="1:3">
      <c r="A8" s="42" t="s">
        <v>58</v>
      </c>
      <c r="B8" s="47" t="s">
        <v>63</v>
      </c>
    </row>
    <row r="9" spans="1:3">
      <c r="A9" s="42" t="s">
        <v>59</v>
      </c>
      <c r="B9" s="47" t="s">
        <v>64</v>
      </c>
    </row>
    <row r="10" spans="1:3">
      <c r="A10" s="42" t="s">
        <v>60</v>
      </c>
      <c r="B10" s="47" t="s">
        <v>64</v>
      </c>
    </row>
    <row r="11" spans="1:3">
      <c r="A11" s="42" t="s">
        <v>61</v>
      </c>
      <c r="B11" s="47" t="s">
        <v>64</v>
      </c>
    </row>
    <row r="12" spans="1:3">
      <c r="A12" s="42" t="s">
        <v>62</v>
      </c>
      <c r="B12" s="47" t="s">
        <v>64</v>
      </c>
    </row>
    <row r="13" spans="1:3">
      <c r="A13" s="42" t="s">
        <v>65</v>
      </c>
      <c r="B13" s="47" t="s">
        <v>99</v>
      </c>
    </row>
    <row r="14" spans="1:3">
      <c r="A14" s="42" t="s">
        <v>78</v>
      </c>
      <c r="B14" s="47" t="s">
        <v>102</v>
      </c>
      <c r="C14" s="40" t="s">
        <v>103</v>
      </c>
    </row>
    <row r="15" spans="1:3">
      <c r="A15" s="42" t="s">
        <v>80</v>
      </c>
      <c r="B15" s="47" t="s">
        <v>100</v>
      </c>
    </row>
    <row r="16" spans="1:3">
      <c r="A16" s="42"/>
      <c r="B16" s="47"/>
    </row>
    <row r="17" spans="1:2">
      <c r="A17" s="42"/>
      <c r="B17" s="47"/>
    </row>
    <row r="18" spans="1:2">
      <c r="A18" s="42"/>
      <c r="B18" s="47"/>
    </row>
    <row r="19" spans="1:2">
      <c r="A19" s="42"/>
      <c r="B19" s="47"/>
    </row>
    <row r="20" spans="1:2">
      <c r="A20" s="42"/>
      <c r="B20" s="47"/>
    </row>
    <row r="21" spans="1:2">
      <c r="A21" s="42"/>
      <c r="B21" s="47"/>
    </row>
    <row r="22" spans="1:2">
      <c r="A22" s="42"/>
      <c r="B22" s="47"/>
    </row>
    <row r="23" spans="1:2">
      <c r="A23" s="42"/>
      <c r="B23" s="47"/>
    </row>
    <row r="24" spans="1:2">
      <c r="A24" s="42"/>
      <c r="B24" s="47"/>
    </row>
    <row r="25" spans="1:2">
      <c r="A25" s="42"/>
      <c r="B25" s="47"/>
    </row>
    <row r="26" spans="1:2">
      <c r="A26" s="42"/>
      <c r="B26" s="47"/>
    </row>
    <row r="27" spans="1:2">
      <c r="A27" s="42"/>
      <c r="B27" s="47"/>
    </row>
    <row r="28" spans="1:2">
      <c r="A28" s="42"/>
      <c r="B28" s="47"/>
    </row>
    <row r="29" spans="1:2">
      <c r="A29" s="42"/>
      <c r="B29" s="47"/>
    </row>
    <row r="30" spans="1:2">
      <c r="A30" s="42"/>
      <c r="B30" s="47"/>
    </row>
    <row r="31" spans="1:2">
      <c r="A31" s="42"/>
      <c r="B31" s="47"/>
    </row>
    <row r="32" spans="1:2">
      <c r="A32" s="42"/>
      <c r="B32" s="47"/>
    </row>
    <row r="33" spans="1:2">
      <c r="A33" s="42"/>
      <c r="B33" s="47"/>
    </row>
    <row r="34" spans="1:2">
      <c r="A34" s="42"/>
      <c r="B34" s="47"/>
    </row>
    <row r="35" spans="1:2" ht="15.75" thickBot="1">
      <c r="A35" s="44"/>
      <c r="B35" s="48"/>
    </row>
  </sheetData>
  <conditionalFormatting sqref="A2:B59">
    <cfRule type="expression" dxfId="71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0" customWidth="1"/>
    <col min="2" max="2" width="15.42578125" style="40" customWidth="1"/>
    <col min="3" max="3" width="20.28515625" style="40" customWidth="1"/>
    <col min="4" max="4" width="14.42578125" style="40" customWidth="1"/>
    <col min="5" max="16384" width="9.140625" style="40"/>
  </cols>
  <sheetData>
    <row r="1" spans="1:4" ht="16.5" thickBot="1">
      <c r="A1" s="96" t="s">
        <v>68</v>
      </c>
      <c r="B1" s="97" t="s">
        <v>69</v>
      </c>
      <c r="C1" s="97" t="s">
        <v>67</v>
      </c>
      <c r="D1" s="98" t="s">
        <v>70</v>
      </c>
    </row>
    <row r="2" spans="1:4">
      <c r="A2" s="85"/>
      <c r="B2" s="86"/>
      <c r="C2" s="87" t="str">
        <f ca="1">IF(A2&lt;&gt;"", IF(C2="", NOW(), C2), "")</f>
        <v/>
      </c>
      <c r="D2" s="88"/>
    </row>
    <row r="3" spans="1:4">
      <c r="A3" s="89"/>
      <c r="B3" s="90"/>
      <c r="C3" s="87" t="str">
        <f t="shared" ref="C3:C66" ca="1" si="0">IF(A3&lt;&gt;"", IF(C3="", NOW(), C3), "")</f>
        <v/>
      </c>
      <c r="D3" s="43"/>
    </row>
    <row r="4" spans="1:4">
      <c r="A4" s="89"/>
      <c r="B4" s="90"/>
      <c r="C4" s="87" t="str">
        <f t="shared" ca="1" si="0"/>
        <v/>
      </c>
      <c r="D4" s="43"/>
    </row>
    <row r="5" spans="1:4">
      <c r="A5" s="89"/>
      <c r="B5" s="90"/>
      <c r="C5" s="87" t="str">
        <f t="shared" ca="1" si="0"/>
        <v/>
      </c>
      <c r="D5" s="43"/>
    </row>
    <row r="6" spans="1:4">
      <c r="A6" s="89"/>
      <c r="B6" s="90"/>
      <c r="C6" s="87" t="str">
        <f t="shared" ca="1" si="0"/>
        <v/>
      </c>
      <c r="D6" s="43"/>
    </row>
    <row r="7" spans="1:4">
      <c r="A7" s="89"/>
      <c r="B7" s="90"/>
      <c r="C7" s="87" t="str">
        <f t="shared" ca="1" si="0"/>
        <v/>
      </c>
      <c r="D7" s="43"/>
    </row>
    <row r="8" spans="1:4">
      <c r="A8" s="89"/>
      <c r="B8" s="90"/>
      <c r="C8" s="87" t="str">
        <f t="shared" ca="1" si="0"/>
        <v/>
      </c>
      <c r="D8" s="43"/>
    </row>
    <row r="9" spans="1:4">
      <c r="A9" s="89"/>
      <c r="B9" s="90"/>
      <c r="C9" s="87" t="str">
        <f t="shared" ca="1" si="0"/>
        <v/>
      </c>
      <c r="D9" s="43"/>
    </row>
    <row r="10" spans="1:4">
      <c r="A10" s="89"/>
      <c r="B10" s="90"/>
      <c r="C10" s="87" t="str">
        <f t="shared" ca="1" si="0"/>
        <v/>
      </c>
      <c r="D10" s="43"/>
    </row>
    <row r="11" spans="1:4">
      <c r="A11" s="89"/>
      <c r="B11" s="90"/>
      <c r="C11" s="87" t="str">
        <f t="shared" ca="1" si="0"/>
        <v/>
      </c>
      <c r="D11" s="43"/>
    </row>
    <row r="12" spans="1:4">
      <c r="A12" s="89"/>
      <c r="B12" s="90"/>
      <c r="C12" s="87" t="str">
        <f t="shared" ca="1" si="0"/>
        <v/>
      </c>
      <c r="D12" s="43"/>
    </row>
    <row r="13" spans="1:4">
      <c r="A13" s="89"/>
      <c r="B13" s="90"/>
      <c r="C13" s="87" t="str">
        <f t="shared" ca="1" si="0"/>
        <v/>
      </c>
      <c r="D13" s="43"/>
    </row>
    <row r="14" spans="1:4">
      <c r="A14" s="89"/>
      <c r="B14" s="90"/>
      <c r="C14" s="87" t="str">
        <f t="shared" ca="1" si="0"/>
        <v/>
      </c>
      <c r="D14" s="43"/>
    </row>
    <row r="15" spans="1:4">
      <c r="A15" s="89"/>
      <c r="B15" s="90"/>
      <c r="C15" s="87" t="str">
        <f t="shared" ca="1" si="0"/>
        <v/>
      </c>
      <c r="D15" s="43"/>
    </row>
    <row r="16" spans="1:4">
      <c r="A16" s="89"/>
      <c r="B16" s="90"/>
      <c r="C16" s="87" t="str">
        <f t="shared" ca="1" si="0"/>
        <v/>
      </c>
      <c r="D16" s="43"/>
    </row>
    <row r="17" spans="1:4">
      <c r="A17" s="89"/>
      <c r="B17" s="90"/>
      <c r="C17" s="87" t="str">
        <f t="shared" ca="1" si="0"/>
        <v/>
      </c>
      <c r="D17" s="43"/>
    </row>
    <row r="18" spans="1:4">
      <c r="A18" s="89"/>
      <c r="B18" s="90"/>
      <c r="C18" s="87" t="str">
        <f t="shared" ca="1" si="0"/>
        <v/>
      </c>
      <c r="D18" s="43"/>
    </row>
    <row r="19" spans="1:4">
      <c r="A19" s="89"/>
      <c r="B19" s="90"/>
      <c r="C19" s="87" t="str">
        <f t="shared" ca="1" si="0"/>
        <v/>
      </c>
      <c r="D19" s="43"/>
    </row>
    <row r="20" spans="1:4">
      <c r="A20" s="89"/>
      <c r="B20" s="90"/>
      <c r="C20" s="87" t="str">
        <f t="shared" ca="1" si="0"/>
        <v/>
      </c>
      <c r="D20" s="43"/>
    </row>
    <row r="21" spans="1:4">
      <c r="A21" s="89"/>
      <c r="B21" s="90"/>
      <c r="C21" s="87" t="str">
        <f t="shared" ca="1" si="0"/>
        <v/>
      </c>
      <c r="D21" s="43"/>
    </row>
    <row r="22" spans="1:4">
      <c r="A22" s="89"/>
      <c r="B22" s="90"/>
      <c r="C22" s="87" t="str">
        <f t="shared" ca="1" si="0"/>
        <v/>
      </c>
      <c r="D22" s="43"/>
    </row>
    <row r="23" spans="1:4">
      <c r="A23" s="89"/>
      <c r="B23" s="90"/>
      <c r="C23" s="87" t="str">
        <f t="shared" ca="1" si="0"/>
        <v/>
      </c>
      <c r="D23" s="43"/>
    </row>
    <row r="24" spans="1:4">
      <c r="A24" s="89"/>
      <c r="B24" s="90"/>
      <c r="C24" s="87" t="str">
        <f t="shared" ca="1" si="0"/>
        <v/>
      </c>
      <c r="D24" s="43"/>
    </row>
    <row r="25" spans="1:4">
      <c r="A25" s="89"/>
      <c r="B25" s="90"/>
      <c r="C25" s="87" t="str">
        <f t="shared" ca="1" si="0"/>
        <v/>
      </c>
      <c r="D25" s="43"/>
    </row>
    <row r="26" spans="1:4">
      <c r="A26" s="89"/>
      <c r="B26" s="90"/>
      <c r="C26" s="87" t="str">
        <f t="shared" ca="1" si="0"/>
        <v/>
      </c>
      <c r="D26" s="43"/>
    </row>
    <row r="27" spans="1:4">
      <c r="A27" s="89"/>
      <c r="B27" s="90"/>
      <c r="C27" s="87" t="str">
        <f t="shared" ca="1" si="0"/>
        <v/>
      </c>
      <c r="D27" s="43"/>
    </row>
    <row r="28" spans="1:4">
      <c r="A28" s="89"/>
      <c r="B28" s="90"/>
      <c r="C28" s="87" t="str">
        <f t="shared" ca="1" si="0"/>
        <v/>
      </c>
      <c r="D28" s="43"/>
    </row>
    <row r="29" spans="1:4">
      <c r="A29" s="89"/>
      <c r="B29" s="90"/>
      <c r="C29" s="87" t="str">
        <f t="shared" ca="1" si="0"/>
        <v/>
      </c>
      <c r="D29" s="43"/>
    </row>
    <row r="30" spans="1:4">
      <c r="A30" s="89"/>
      <c r="B30" s="90"/>
      <c r="C30" s="87" t="str">
        <f t="shared" ca="1" si="0"/>
        <v/>
      </c>
      <c r="D30" s="43"/>
    </row>
    <row r="31" spans="1:4">
      <c r="A31" s="89"/>
      <c r="B31" s="90"/>
      <c r="C31" s="87" t="str">
        <f t="shared" ca="1" si="0"/>
        <v/>
      </c>
      <c r="D31" s="43"/>
    </row>
    <row r="32" spans="1:4">
      <c r="A32" s="89"/>
      <c r="B32" s="90"/>
      <c r="C32" s="87" t="str">
        <f t="shared" ca="1" si="0"/>
        <v/>
      </c>
      <c r="D32" s="43"/>
    </row>
    <row r="33" spans="1:4">
      <c r="A33" s="89"/>
      <c r="B33" s="90"/>
      <c r="C33" s="87" t="str">
        <f t="shared" ca="1" si="0"/>
        <v/>
      </c>
      <c r="D33" s="43"/>
    </row>
    <row r="34" spans="1:4">
      <c r="A34" s="89"/>
      <c r="B34" s="90"/>
      <c r="C34" s="87" t="str">
        <f t="shared" ca="1" si="0"/>
        <v/>
      </c>
      <c r="D34" s="43"/>
    </row>
    <row r="35" spans="1:4">
      <c r="A35" s="89"/>
      <c r="B35" s="90"/>
      <c r="C35" s="87" t="str">
        <f t="shared" ca="1" si="0"/>
        <v/>
      </c>
      <c r="D35" s="43"/>
    </row>
    <row r="36" spans="1:4">
      <c r="A36" s="89"/>
      <c r="B36" s="90"/>
      <c r="C36" s="87" t="str">
        <f t="shared" ca="1" si="0"/>
        <v/>
      </c>
      <c r="D36" s="43"/>
    </row>
    <row r="37" spans="1:4">
      <c r="A37" s="89"/>
      <c r="B37" s="90"/>
      <c r="C37" s="87" t="str">
        <f t="shared" ca="1" si="0"/>
        <v/>
      </c>
      <c r="D37" s="43"/>
    </row>
    <row r="38" spans="1:4">
      <c r="A38" s="89"/>
      <c r="B38" s="90"/>
      <c r="C38" s="87" t="str">
        <f t="shared" ca="1" si="0"/>
        <v/>
      </c>
      <c r="D38" s="43"/>
    </row>
    <row r="39" spans="1:4">
      <c r="A39" s="89"/>
      <c r="B39" s="90"/>
      <c r="C39" s="87" t="str">
        <f t="shared" ca="1" si="0"/>
        <v/>
      </c>
      <c r="D39" s="43"/>
    </row>
    <row r="40" spans="1:4">
      <c r="A40" s="89"/>
      <c r="B40" s="90"/>
      <c r="C40" s="87" t="str">
        <f t="shared" ca="1" si="0"/>
        <v/>
      </c>
      <c r="D40" s="43"/>
    </row>
    <row r="41" spans="1:4">
      <c r="A41" s="89"/>
      <c r="B41" s="90"/>
      <c r="C41" s="87" t="str">
        <f t="shared" ca="1" si="0"/>
        <v/>
      </c>
      <c r="D41" s="43"/>
    </row>
    <row r="42" spans="1:4">
      <c r="A42" s="89"/>
      <c r="B42" s="90"/>
      <c r="C42" s="87" t="str">
        <f t="shared" ca="1" si="0"/>
        <v/>
      </c>
      <c r="D42" s="43"/>
    </row>
    <row r="43" spans="1:4">
      <c r="A43" s="89"/>
      <c r="B43" s="90"/>
      <c r="C43" s="87" t="str">
        <f t="shared" ca="1" si="0"/>
        <v/>
      </c>
      <c r="D43" s="43"/>
    </row>
    <row r="44" spans="1:4">
      <c r="A44" s="89"/>
      <c r="B44" s="90"/>
      <c r="C44" s="87" t="str">
        <f t="shared" ca="1" si="0"/>
        <v/>
      </c>
      <c r="D44" s="43"/>
    </row>
    <row r="45" spans="1:4">
      <c r="A45" s="89"/>
      <c r="B45" s="90"/>
      <c r="C45" s="87" t="str">
        <f t="shared" ca="1" si="0"/>
        <v/>
      </c>
      <c r="D45" s="43"/>
    </row>
    <row r="46" spans="1:4">
      <c r="A46" s="89"/>
      <c r="B46" s="90"/>
      <c r="C46" s="87" t="str">
        <f t="shared" ca="1" si="0"/>
        <v/>
      </c>
      <c r="D46" s="43"/>
    </row>
    <row r="47" spans="1:4">
      <c r="A47" s="89"/>
      <c r="B47" s="90"/>
      <c r="C47" s="87" t="str">
        <f t="shared" ca="1" si="0"/>
        <v/>
      </c>
      <c r="D47" s="43"/>
    </row>
    <row r="48" spans="1:4">
      <c r="A48" s="89"/>
      <c r="B48" s="90"/>
      <c r="C48" s="87" t="str">
        <f t="shared" ca="1" si="0"/>
        <v/>
      </c>
      <c r="D48" s="43"/>
    </row>
    <row r="49" spans="1:4">
      <c r="A49" s="89"/>
      <c r="B49" s="90"/>
      <c r="C49" s="87" t="str">
        <f t="shared" ca="1" si="0"/>
        <v/>
      </c>
      <c r="D49" s="43"/>
    </row>
    <row r="50" spans="1:4">
      <c r="A50" s="89"/>
      <c r="B50" s="90"/>
      <c r="C50" s="87" t="str">
        <f t="shared" ca="1" si="0"/>
        <v/>
      </c>
      <c r="D50" s="43"/>
    </row>
    <row r="51" spans="1:4">
      <c r="A51" s="89"/>
      <c r="B51" s="90"/>
      <c r="C51" s="87" t="str">
        <f t="shared" ca="1" si="0"/>
        <v/>
      </c>
      <c r="D51" s="43"/>
    </row>
    <row r="52" spans="1:4">
      <c r="A52" s="89"/>
      <c r="B52" s="90"/>
      <c r="C52" s="87" t="str">
        <f t="shared" ca="1" si="0"/>
        <v/>
      </c>
      <c r="D52" s="43"/>
    </row>
    <row r="53" spans="1:4">
      <c r="A53" s="89"/>
      <c r="B53" s="90"/>
      <c r="C53" s="87" t="str">
        <f t="shared" ca="1" si="0"/>
        <v/>
      </c>
      <c r="D53" s="43"/>
    </row>
    <row r="54" spans="1:4">
      <c r="A54" s="89"/>
      <c r="B54" s="90"/>
      <c r="C54" s="87" t="str">
        <f t="shared" ca="1" si="0"/>
        <v/>
      </c>
      <c r="D54" s="43"/>
    </row>
    <row r="55" spans="1:4">
      <c r="A55" s="89"/>
      <c r="B55" s="90"/>
      <c r="C55" s="87" t="str">
        <f t="shared" ca="1" si="0"/>
        <v/>
      </c>
      <c r="D55" s="43"/>
    </row>
    <row r="56" spans="1:4">
      <c r="A56" s="89"/>
      <c r="B56" s="90"/>
      <c r="C56" s="87" t="str">
        <f t="shared" ca="1" si="0"/>
        <v/>
      </c>
      <c r="D56" s="43"/>
    </row>
    <row r="57" spans="1:4">
      <c r="A57" s="89"/>
      <c r="B57" s="90"/>
      <c r="C57" s="87" t="str">
        <f t="shared" ca="1" si="0"/>
        <v/>
      </c>
      <c r="D57" s="43"/>
    </row>
    <row r="58" spans="1:4">
      <c r="A58" s="89"/>
      <c r="B58" s="90"/>
      <c r="C58" s="87" t="str">
        <f t="shared" ca="1" si="0"/>
        <v/>
      </c>
      <c r="D58" s="43"/>
    </row>
    <row r="59" spans="1:4">
      <c r="A59" s="89"/>
      <c r="B59" s="90"/>
      <c r="C59" s="87" t="str">
        <f t="shared" ca="1" si="0"/>
        <v/>
      </c>
      <c r="D59" s="43"/>
    </row>
    <row r="60" spans="1:4">
      <c r="A60" s="89"/>
      <c r="B60" s="90"/>
      <c r="C60" s="87" t="str">
        <f t="shared" ca="1" si="0"/>
        <v/>
      </c>
      <c r="D60" s="43"/>
    </row>
    <row r="61" spans="1:4">
      <c r="A61" s="89"/>
      <c r="B61" s="90"/>
      <c r="C61" s="87" t="str">
        <f t="shared" ca="1" si="0"/>
        <v/>
      </c>
      <c r="D61" s="43"/>
    </row>
    <row r="62" spans="1:4">
      <c r="A62" s="89"/>
      <c r="B62" s="90"/>
      <c r="C62" s="87" t="str">
        <f t="shared" ca="1" si="0"/>
        <v/>
      </c>
      <c r="D62" s="43"/>
    </row>
    <row r="63" spans="1:4">
      <c r="A63" s="89"/>
      <c r="B63" s="90"/>
      <c r="C63" s="87" t="str">
        <f t="shared" ca="1" si="0"/>
        <v/>
      </c>
      <c r="D63" s="43"/>
    </row>
    <row r="64" spans="1:4">
      <c r="A64" s="89"/>
      <c r="B64" s="90"/>
      <c r="C64" s="87" t="str">
        <f t="shared" ca="1" si="0"/>
        <v/>
      </c>
      <c r="D64" s="43"/>
    </row>
    <row r="65" spans="1:4">
      <c r="A65" s="89"/>
      <c r="B65" s="90"/>
      <c r="C65" s="87" t="str">
        <f t="shared" ca="1" si="0"/>
        <v/>
      </c>
      <c r="D65" s="43"/>
    </row>
    <row r="66" spans="1:4">
      <c r="A66" s="89"/>
      <c r="B66" s="90"/>
      <c r="C66" s="87" t="str">
        <f t="shared" ca="1" si="0"/>
        <v/>
      </c>
      <c r="D66" s="43"/>
    </row>
    <row r="67" spans="1:4">
      <c r="A67" s="89"/>
      <c r="B67" s="90"/>
      <c r="C67" s="87" t="str">
        <f t="shared" ref="C67:C130" ca="1" si="1">IF(A67&lt;&gt;"", IF(C67="", NOW(), C67), "")</f>
        <v/>
      </c>
      <c r="D67" s="43"/>
    </row>
    <row r="68" spans="1:4">
      <c r="A68" s="89"/>
      <c r="B68" s="90"/>
      <c r="C68" s="87" t="str">
        <f t="shared" ca="1" si="1"/>
        <v/>
      </c>
      <c r="D68" s="43"/>
    </row>
    <row r="69" spans="1:4">
      <c r="A69" s="89"/>
      <c r="B69" s="90"/>
      <c r="C69" s="87" t="str">
        <f t="shared" ca="1" si="1"/>
        <v/>
      </c>
      <c r="D69" s="43"/>
    </row>
    <row r="70" spans="1:4">
      <c r="A70" s="89"/>
      <c r="B70" s="90"/>
      <c r="C70" s="87" t="str">
        <f t="shared" ca="1" si="1"/>
        <v/>
      </c>
      <c r="D70" s="43"/>
    </row>
    <row r="71" spans="1:4">
      <c r="A71" s="89"/>
      <c r="B71" s="90"/>
      <c r="C71" s="87" t="str">
        <f t="shared" ca="1" si="1"/>
        <v/>
      </c>
      <c r="D71" s="43"/>
    </row>
    <row r="72" spans="1:4">
      <c r="A72" s="89"/>
      <c r="B72" s="90"/>
      <c r="C72" s="87" t="str">
        <f t="shared" ca="1" si="1"/>
        <v/>
      </c>
      <c r="D72" s="43"/>
    </row>
    <row r="73" spans="1:4">
      <c r="A73" s="89"/>
      <c r="B73" s="90"/>
      <c r="C73" s="87" t="str">
        <f t="shared" ca="1" si="1"/>
        <v/>
      </c>
      <c r="D73" s="43"/>
    </row>
    <row r="74" spans="1:4">
      <c r="A74" s="89"/>
      <c r="B74" s="90"/>
      <c r="C74" s="87" t="str">
        <f t="shared" ca="1" si="1"/>
        <v/>
      </c>
      <c r="D74" s="43"/>
    </row>
    <row r="75" spans="1:4">
      <c r="A75" s="89"/>
      <c r="B75" s="90"/>
      <c r="C75" s="87" t="str">
        <f t="shared" ca="1" si="1"/>
        <v/>
      </c>
      <c r="D75" s="43"/>
    </row>
    <row r="76" spans="1:4">
      <c r="A76" s="89"/>
      <c r="B76" s="90"/>
      <c r="C76" s="87" t="str">
        <f t="shared" ca="1" si="1"/>
        <v/>
      </c>
      <c r="D76" s="43"/>
    </row>
    <row r="77" spans="1:4">
      <c r="A77" s="89"/>
      <c r="B77" s="90"/>
      <c r="C77" s="87" t="str">
        <f t="shared" ca="1" si="1"/>
        <v/>
      </c>
      <c r="D77" s="43"/>
    </row>
    <row r="78" spans="1:4">
      <c r="A78" s="89"/>
      <c r="B78" s="90"/>
      <c r="C78" s="87" t="str">
        <f t="shared" ca="1" si="1"/>
        <v/>
      </c>
      <c r="D78" s="43"/>
    </row>
    <row r="79" spans="1:4">
      <c r="A79" s="89"/>
      <c r="B79" s="90"/>
      <c r="C79" s="87" t="str">
        <f t="shared" ca="1" si="1"/>
        <v/>
      </c>
      <c r="D79" s="43"/>
    </row>
    <row r="80" spans="1:4">
      <c r="A80" s="89"/>
      <c r="B80" s="90"/>
      <c r="C80" s="87" t="str">
        <f t="shared" ca="1" si="1"/>
        <v/>
      </c>
      <c r="D80" s="43"/>
    </row>
    <row r="81" spans="1:4">
      <c r="A81" s="89"/>
      <c r="B81" s="90"/>
      <c r="C81" s="87" t="str">
        <f t="shared" ca="1" si="1"/>
        <v/>
      </c>
      <c r="D81" s="43"/>
    </row>
    <row r="82" spans="1:4">
      <c r="A82" s="89"/>
      <c r="B82" s="90"/>
      <c r="C82" s="87" t="str">
        <f t="shared" ca="1" si="1"/>
        <v/>
      </c>
      <c r="D82" s="43"/>
    </row>
    <row r="83" spans="1:4">
      <c r="A83" s="89"/>
      <c r="B83" s="90"/>
      <c r="C83" s="87" t="str">
        <f t="shared" ca="1" si="1"/>
        <v/>
      </c>
      <c r="D83" s="43"/>
    </row>
    <row r="84" spans="1:4">
      <c r="A84" s="89"/>
      <c r="B84" s="90"/>
      <c r="C84" s="87" t="str">
        <f t="shared" ca="1" si="1"/>
        <v/>
      </c>
      <c r="D84" s="43"/>
    </row>
    <row r="85" spans="1:4">
      <c r="A85" s="89"/>
      <c r="B85" s="90"/>
      <c r="C85" s="87" t="str">
        <f t="shared" ca="1" si="1"/>
        <v/>
      </c>
      <c r="D85" s="43"/>
    </row>
    <row r="86" spans="1:4">
      <c r="A86" s="89"/>
      <c r="B86" s="90"/>
      <c r="C86" s="87" t="str">
        <f t="shared" ca="1" si="1"/>
        <v/>
      </c>
      <c r="D86" s="43"/>
    </row>
    <row r="87" spans="1:4">
      <c r="A87" s="89"/>
      <c r="B87" s="90"/>
      <c r="C87" s="87" t="str">
        <f t="shared" ca="1" si="1"/>
        <v/>
      </c>
      <c r="D87" s="43"/>
    </row>
    <row r="88" spans="1:4">
      <c r="A88" s="89"/>
      <c r="B88" s="90"/>
      <c r="C88" s="87" t="str">
        <f t="shared" ca="1" si="1"/>
        <v/>
      </c>
      <c r="D88" s="43"/>
    </row>
    <row r="89" spans="1:4">
      <c r="A89" s="89"/>
      <c r="B89" s="90"/>
      <c r="C89" s="87" t="str">
        <f t="shared" ca="1" si="1"/>
        <v/>
      </c>
      <c r="D89" s="43"/>
    </row>
    <row r="90" spans="1:4">
      <c r="A90" s="89"/>
      <c r="B90" s="90"/>
      <c r="C90" s="87" t="str">
        <f t="shared" ca="1" si="1"/>
        <v/>
      </c>
      <c r="D90" s="43"/>
    </row>
    <row r="91" spans="1:4">
      <c r="A91" s="89"/>
      <c r="B91" s="90"/>
      <c r="C91" s="87" t="str">
        <f t="shared" ca="1" si="1"/>
        <v/>
      </c>
      <c r="D91" s="43"/>
    </row>
    <row r="92" spans="1:4">
      <c r="A92" s="89"/>
      <c r="B92" s="90"/>
      <c r="C92" s="87" t="str">
        <f t="shared" ca="1" si="1"/>
        <v/>
      </c>
      <c r="D92" s="43"/>
    </row>
    <row r="93" spans="1:4">
      <c r="A93" s="89"/>
      <c r="B93" s="90"/>
      <c r="C93" s="87" t="str">
        <f t="shared" ca="1" si="1"/>
        <v/>
      </c>
      <c r="D93" s="43"/>
    </row>
    <row r="94" spans="1:4">
      <c r="A94" s="89"/>
      <c r="B94" s="90"/>
      <c r="C94" s="87" t="str">
        <f t="shared" ca="1" si="1"/>
        <v/>
      </c>
      <c r="D94" s="43"/>
    </row>
    <row r="95" spans="1:4">
      <c r="A95" s="89"/>
      <c r="B95" s="90"/>
      <c r="C95" s="87" t="str">
        <f t="shared" ca="1" si="1"/>
        <v/>
      </c>
      <c r="D95" s="43"/>
    </row>
    <row r="96" spans="1:4">
      <c r="A96" s="89"/>
      <c r="B96" s="90"/>
      <c r="C96" s="87" t="str">
        <f t="shared" ca="1" si="1"/>
        <v/>
      </c>
      <c r="D96" s="43"/>
    </row>
    <row r="97" spans="1:4">
      <c r="A97" s="89"/>
      <c r="B97" s="90"/>
      <c r="C97" s="87" t="str">
        <f t="shared" ca="1" si="1"/>
        <v/>
      </c>
      <c r="D97" s="43"/>
    </row>
    <row r="98" spans="1:4">
      <c r="A98" s="89"/>
      <c r="B98" s="90"/>
      <c r="C98" s="87" t="str">
        <f t="shared" ca="1" si="1"/>
        <v/>
      </c>
      <c r="D98" s="43"/>
    </row>
    <row r="99" spans="1:4">
      <c r="A99" s="89"/>
      <c r="B99" s="90"/>
      <c r="C99" s="87" t="str">
        <f t="shared" ca="1" si="1"/>
        <v/>
      </c>
      <c r="D99" s="43"/>
    </row>
    <row r="100" spans="1:4">
      <c r="A100" s="89"/>
      <c r="B100" s="90"/>
      <c r="C100" s="87" t="str">
        <f t="shared" ca="1" si="1"/>
        <v/>
      </c>
      <c r="D100" s="43"/>
    </row>
    <row r="101" spans="1:4">
      <c r="A101" s="89"/>
      <c r="B101" s="90"/>
      <c r="C101" s="87" t="str">
        <f t="shared" ca="1" si="1"/>
        <v/>
      </c>
      <c r="D101" s="43"/>
    </row>
    <row r="102" spans="1:4">
      <c r="A102" s="89"/>
      <c r="B102" s="90"/>
      <c r="C102" s="87" t="str">
        <f t="shared" ca="1" si="1"/>
        <v/>
      </c>
      <c r="D102" s="43"/>
    </row>
    <row r="103" spans="1:4">
      <c r="A103" s="89"/>
      <c r="B103" s="90"/>
      <c r="C103" s="87" t="str">
        <f t="shared" ca="1" si="1"/>
        <v/>
      </c>
      <c r="D103" s="43"/>
    </row>
    <row r="104" spans="1:4">
      <c r="A104" s="89"/>
      <c r="B104" s="90"/>
      <c r="C104" s="87" t="str">
        <f t="shared" ca="1" si="1"/>
        <v/>
      </c>
      <c r="D104" s="43"/>
    </row>
    <row r="105" spans="1:4">
      <c r="A105" s="89"/>
      <c r="B105" s="90"/>
      <c r="C105" s="87" t="str">
        <f t="shared" ca="1" si="1"/>
        <v/>
      </c>
      <c r="D105" s="43"/>
    </row>
    <row r="106" spans="1:4">
      <c r="A106" s="89"/>
      <c r="B106" s="90"/>
      <c r="C106" s="87" t="str">
        <f t="shared" ca="1" si="1"/>
        <v/>
      </c>
      <c r="D106" s="43"/>
    </row>
    <row r="107" spans="1:4">
      <c r="A107" s="89"/>
      <c r="B107" s="90"/>
      <c r="C107" s="87" t="str">
        <f t="shared" ca="1" si="1"/>
        <v/>
      </c>
      <c r="D107" s="43"/>
    </row>
    <row r="108" spans="1:4">
      <c r="A108" s="89"/>
      <c r="B108" s="90"/>
      <c r="C108" s="87" t="str">
        <f t="shared" ca="1" si="1"/>
        <v/>
      </c>
      <c r="D108" s="43"/>
    </row>
    <row r="109" spans="1:4">
      <c r="A109" s="89"/>
      <c r="B109" s="90"/>
      <c r="C109" s="87" t="str">
        <f t="shared" ca="1" si="1"/>
        <v/>
      </c>
      <c r="D109" s="43"/>
    </row>
    <row r="110" spans="1:4">
      <c r="A110" s="89"/>
      <c r="B110" s="90"/>
      <c r="C110" s="87" t="str">
        <f t="shared" ca="1" si="1"/>
        <v/>
      </c>
      <c r="D110" s="43"/>
    </row>
    <row r="111" spans="1:4">
      <c r="A111" s="89"/>
      <c r="B111" s="90"/>
      <c r="C111" s="87" t="str">
        <f t="shared" ca="1" si="1"/>
        <v/>
      </c>
      <c r="D111" s="43"/>
    </row>
    <row r="112" spans="1:4">
      <c r="A112" s="89"/>
      <c r="B112" s="90"/>
      <c r="C112" s="87" t="str">
        <f t="shared" ca="1" si="1"/>
        <v/>
      </c>
      <c r="D112" s="43"/>
    </row>
    <row r="113" spans="1:4">
      <c r="A113" s="89"/>
      <c r="B113" s="90"/>
      <c r="C113" s="87" t="str">
        <f t="shared" ca="1" si="1"/>
        <v/>
      </c>
      <c r="D113" s="43"/>
    </row>
    <row r="114" spans="1:4">
      <c r="A114" s="89"/>
      <c r="B114" s="90"/>
      <c r="C114" s="87" t="str">
        <f t="shared" ca="1" si="1"/>
        <v/>
      </c>
      <c r="D114" s="43"/>
    </row>
    <row r="115" spans="1:4">
      <c r="A115" s="89"/>
      <c r="B115" s="90"/>
      <c r="C115" s="87" t="str">
        <f t="shared" ca="1" si="1"/>
        <v/>
      </c>
      <c r="D115" s="43"/>
    </row>
    <row r="116" spans="1:4">
      <c r="A116" s="89"/>
      <c r="B116" s="90"/>
      <c r="C116" s="87" t="str">
        <f t="shared" ca="1" si="1"/>
        <v/>
      </c>
      <c r="D116" s="43"/>
    </row>
    <row r="117" spans="1:4">
      <c r="A117" s="89"/>
      <c r="B117" s="90"/>
      <c r="C117" s="87" t="str">
        <f t="shared" ca="1" si="1"/>
        <v/>
      </c>
      <c r="D117" s="43"/>
    </row>
    <row r="118" spans="1:4">
      <c r="A118" s="89"/>
      <c r="B118" s="90"/>
      <c r="C118" s="87" t="str">
        <f t="shared" ca="1" si="1"/>
        <v/>
      </c>
      <c r="D118" s="43"/>
    </row>
    <row r="119" spans="1:4">
      <c r="A119" s="89"/>
      <c r="B119" s="90"/>
      <c r="C119" s="87" t="str">
        <f t="shared" ca="1" si="1"/>
        <v/>
      </c>
      <c r="D119" s="43"/>
    </row>
    <row r="120" spans="1:4">
      <c r="A120" s="89"/>
      <c r="B120" s="90"/>
      <c r="C120" s="87" t="str">
        <f t="shared" ca="1" si="1"/>
        <v/>
      </c>
      <c r="D120" s="43"/>
    </row>
    <row r="121" spans="1:4">
      <c r="A121" s="89"/>
      <c r="B121" s="90"/>
      <c r="C121" s="87" t="str">
        <f t="shared" ca="1" si="1"/>
        <v/>
      </c>
      <c r="D121" s="43"/>
    </row>
    <row r="122" spans="1:4">
      <c r="A122" s="89"/>
      <c r="B122" s="90"/>
      <c r="C122" s="87" t="str">
        <f t="shared" ca="1" si="1"/>
        <v/>
      </c>
      <c r="D122" s="43"/>
    </row>
    <row r="123" spans="1:4">
      <c r="A123" s="89"/>
      <c r="B123" s="90"/>
      <c r="C123" s="87" t="str">
        <f t="shared" ca="1" si="1"/>
        <v/>
      </c>
      <c r="D123" s="43"/>
    </row>
    <row r="124" spans="1:4">
      <c r="A124" s="89"/>
      <c r="B124" s="90"/>
      <c r="C124" s="87" t="str">
        <f t="shared" ca="1" si="1"/>
        <v/>
      </c>
      <c r="D124" s="43"/>
    </row>
    <row r="125" spans="1:4">
      <c r="A125" s="89"/>
      <c r="B125" s="90"/>
      <c r="C125" s="87" t="str">
        <f t="shared" ca="1" si="1"/>
        <v/>
      </c>
      <c r="D125" s="43"/>
    </row>
    <row r="126" spans="1:4">
      <c r="A126" s="89"/>
      <c r="B126" s="90"/>
      <c r="C126" s="87" t="str">
        <f t="shared" ca="1" si="1"/>
        <v/>
      </c>
      <c r="D126" s="43"/>
    </row>
    <row r="127" spans="1:4">
      <c r="A127" s="89"/>
      <c r="B127" s="90"/>
      <c r="C127" s="87" t="str">
        <f t="shared" ca="1" si="1"/>
        <v/>
      </c>
      <c r="D127" s="43"/>
    </row>
    <row r="128" spans="1:4">
      <c r="A128" s="89"/>
      <c r="B128" s="90"/>
      <c r="C128" s="87" t="str">
        <f t="shared" ca="1" si="1"/>
        <v/>
      </c>
      <c r="D128" s="43"/>
    </row>
    <row r="129" spans="1:4">
      <c r="A129" s="89"/>
      <c r="B129" s="90"/>
      <c r="C129" s="87" t="str">
        <f t="shared" ca="1" si="1"/>
        <v/>
      </c>
      <c r="D129" s="43"/>
    </row>
    <row r="130" spans="1:4">
      <c r="A130" s="89"/>
      <c r="B130" s="90"/>
      <c r="C130" s="87" t="str">
        <f t="shared" ca="1" si="1"/>
        <v/>
      </c>
      <c r="D130" s="43"/>
    </row>
    <row r="131" spans="1:4">
      <c r="A131" s="89"/>
      <c r="B131" s="90"/>
      <c r="C131" s="87" t="str">
        <f t="shared" ref="C131:C194" ca="1" si="2">IF(A131&lt;&gt;"", IF(C131="", NOW(), C131), "")</f>
        <v/>
      </c>
      <c r="D131" s="43"/>
    </row>
    <row r="132" spans="1:4">
      <c r="A132" s="89"/>
      <c r="B132" s="90"/>
      <c r="C132" s="87" t="str">
        <f t="shared" ca="1" si="2"/>
        <v/>
      </c>
      <c r="D132" s="43"/>
    </row>
    <row r="133" spans="1:4">
      <c r="A133" s="89"/>
      <c r="B133" s="90"/>
      <c r="C133" s="87" t="str">
        <f t="shared" ca="1" si="2"/>
        <v/>
      </c>
      <c r="D133" s="43"/>
    </row>
    <row r="134" spans="1:4">
      <c r="A134" s="89"/>
      <c r="B134" s="90"/>
      <c r="C134" s="87" t="str">
        <f t="shared" ca="1" si="2"/>
        <v/>
      </c>
      <c r="D134" s="43"/>
    </row>
    <row r="135" spans="1:4">
      <c r="A135" s="89"/>
      <c r="B135" s="90"/>
      <c r="C135" s="87" t="str">
        <f t="shared" ca="1" si="2"/>
        <v/>
      </c>
      <c r="D135" s="43"/>
    </row>
    <row r="136" spans="1:4">
      <c r="A136" s="89"/>
      <c r="B136" s="90"/>
      <c r="C136" s="87" t="str">
        <f t="shared" ca="1" si="2"/>
        <v/>
      </c>
      <c r="D136" s="43"/>
    </row>
    <row r="137" spans="1:4">
      <c r="A137" s="89"/>
      <c r="B137" s="90"/>
      <c r="C137" s="87" t="str">
        <f t="shared" ca="1" si="2"/>
        <v/>
      </c>
      <c r="D137" s="43"/>
    </row>
    <row r="138" spans="1:4">
      <c r="A138" s="89"/>
      <c r="B138" s="90"/>
      <c r="C138" s="87" t="str">
        <f t="shared" ca="1" si="2"/>
        <v/>
      </c>
      <c r="D138" s="43"/>
    </row>
    <row r="139" spans="1:4">
      <c r="A139" s="89"/>
      <c r="B139" s="90"/>
      <c r="C139" s="87" t="str">
        <f t="shared" ca="1" si="2"/>
        <v/>
      </c>
      <c r="D139" s="43"/>
    </row>
    <row r="140" spans="1:4">
      <c r="A140" s="89"/>
      <c r="B140" s="90"/>
      <c r="C140" s="87" t="str">
        <f t="shared" ca="1" si="2"/>
        <v/>
      </c>
      <c r="D140" s="43"/>
    </row>
    <row r="141" spans="1:4">
      <c r="A141" s="89"/>
      <c r="B141" s="90"/>
      <c r="C141" s="87" t="str">
        <f t="shared" ca="1" si="2"/>
        <v/>
      </c>
      <c r="D141" s="43"/>
    </row>
    <row r="142" spans="1:4">
      <c r="A142" s="89"/>
      <c r="B142" s="90"/>
      <c r="C142" s="87" t="str">
        <f t="shared" ca="1" si="2"/>
        <v/>
      </c>
      <c r="D142" s="43"/>
    </row>
    <row r="143" spans="1:4">
      <c r="A143" s="89"/>
      <c r="B143" s="90"/>
      <c r="C143" s="87" t="str">
        <f t="shared" ca="1" si="2"/>
        <v/>
      </c>
      <c r="D143" s="43"/>
    </row>
    <row r="144" spans="1:4">
      <c r="A144" s="89"/>
      <c r="B144" s="90"/>
      <c r="C144" s="87" t="str">
        <f t="shared" ca="1" si="2"/>
        <v/>
      </c>
      <c r="D144" s="43"/>
    </row>
    <row r="145" spans="1:4">
      <c r="A145" s="89"/>
      <c r="B145" s="90"/>
      <c r="C145" s="87" t="str">
        <f t="shared" ca="1" si="2"/>
        <v/>
      </c>
      <c r="D145" s="43"/>
    </row>
    <row r="146" spans="1:4">
      <c r="A146" s="89"/>
      <c r="B146" s="90"/>
      <c r="C146" s="87" t="str">
        <f t="shared" ca="1" si="2"/>
        <v/>
      </c>
      <c r="D146" s="43"/>
    </row>
    <row r="147" spans="1:4">
      <c r="A147" s="89"/>
      <c r="B147" s="90"/>
      <c r="C147" s="87" t="str">
        <f t="shared" ca="1" si="2"/>
        <v/>
      </c>
      <c r="D147" s="43"/>
    </row>
    <row r="148" spans="1:4">
      <c r="A148" s="89"/>
      <c r="B148" s="90"/>
      <c r="C148" s="87" t="str">
        <f t="shared" ca="1" si="2"/>
        <v/>
      </c>
      <c r="D148" s="43"/>
    </row>
    <row r="149" spans="1:4">
      <c r="A149" s="89"/>
      <c r="B149" s="90"/>
      <c r="C149" s="87" t="str">
        <f t="shared" ca="1" si="2"/>
        <v/>
      </c>
      <c r="D149" s="43"/>
    </row>
    <row r="150" spans="1:4">
      <c r="A150" s="89"/>
      <c r="B150" s="90"/>
      <c r="C150" s="87" t="str">
        <f t="shared" ca="1" si="2"/>
        <v/>
      </c>
      <c r="D150" s="43"/>
    </row>
    <row r="151" spans="1:4">
      <c r="A151" s="89"/>
      <c r="B151" s="90"/>
      <c r="C151" s="87" t="str">
        <f t="shared" ca="1" si="2"/>
        <v/>
      </c>
      <c r="D151" s="43"/>
    </row>
    <row r="152" spans="1:4">
      <c r="A152" s="89"/>
      <c r="B152" s="90"/>
      <c r="C152" s="87" t="str">
        <f t="shared" ca="1" si="2"/>
        <v/>
      </c>
      <c r="D152" s="43"/>
    </row>
    <row r="153" spans="1:4">
      <c r="A153" s="89"/>
      <c r="B153" s="90"/>
      <c r="C153" s="87" t="str">
        <f t="shared" ca="1" si="2"/>
        <v/>
      </c>
      <c r="D153" s="43"/>
    </row>
    <row r="154" spans="1:4">
      <c r="A154" s="89"/>
      <c r="B154" s="90"/>
      <c r="C154" s="87" t="str">
        <f t="shared" ca="1" si="2"/>
        <v/>
      </c>
      <c r="D154" s="43"/>
    </row>
    <row r="155" spans="1:4">
      <c r="A155" s="89"/>
      <c r="B155" s="90"/>
      <c r="C155" s="87" t="str">
        <f t="shared" ca="1" si="2"/>
        <v/>
      </c>
      <c r="D155" s="43"/>
    </row>
    <row r="156" spans="1:4">
      <c r="A156" s="89"/>
      <c r="B156" s="90"/>
      <c r="C156" s="87" t="str">
        <f t="shared" ca="1" si="2"/>
        <v/>
      </c>
      <c r="D156" s="43"/>
    </row>
    <row r="157" spans="1:4">
      <c r="A157" s="89"/>
      <c r="B157" s="90"/>
      <c r="C157" s="87" t="str">
        <f t="shared" ca="1" si="2"/>
        <v/>
      </c>
      <c r="D157" s="43"/>
    </row>
    <row r="158" spans="1:4">
      <c r="A158" s="89"/>
      <c r="B158" s="90"/>
      <c r="C158" s="87" t="str">
        <f t="shared" ca="1" si="2"/>
        <v/>
      </c>
      <c r="D158" s="43"/>
    </row>
    <row r="159" spans="1:4">
      <c r="A159" s="89"/>
      <c r="B159" s="90"/>
      <c r="C159" s="87" t="str">
        <f t="shared" ca="1" si="2"/>
        <v/>
      </c>
      <c r="D159" s="43"/>
    </row>
    <row r="160" spans="1:4">
      <c r="A160" s="89"/>
      <c r="B160" s="90"/>
      <c r="C160" s="87" t="str">
        <f t="shared" ca="1" si="2"/>
        <v/>
      </c>
      <c r="D160" s="43"/>
    </row>
    <row r="161" spans="1:4">
      <c r="A161" s="89"/>
      <c r="B161" s="90"/>
      <c r="C161" s="87" t="str">
        <f t="shared" ca="1" si="2"/>
        <v/>
      </c>
      <c r="D161" s="43"/>
    </row>
    <row r="162" spans="1:4">
      <c r="A162" s="89"/>
      <c r="B162" s="90"/>
      <c r="C162" s="87" t="str">
        <f t="shared" ca="1" si="2"/>
        <v/>
      </c>
      <c r="D162" s="43"/>
    </row>
    <row r="163" spans="1:4">
      <c r="A163" s="89"/>
      <c r="B163" s="90"/>
      <c r="C163" s="87" t="str">
        <f t="shared" ca="1" si="2"/>
        <v/>
      </c>
      <c r="D163" s="43"/>
    </row>
    <row r="164" spans="1:4">
      <c r="A164" s="89"/>
      <c r="B164" s="90"/>
      <c r="C164" s="87" t="str">
        <f t="shared" ca="1" si="2"/>
        <v/>
      </c>
      <c r="D164" s="43"/>
    </row>
    <row r="165" spans="1:4">
      <c r="A165" s="89"/>
      <c r="B165" s="90"/>
      <c r="C165" s="87" t="str">
        <f t="shared" ca="1" si="2"/>
        <v/>
      </c>
      <c r="D165" s="43"/>
    </row>
    <row r="166" spans="1:4">
      <c r="A166" s="89"/>
      <c r="B166" s="90"/>
      <c r="C166" s="87" t="str">
        <f t="shared" ca="1" si="2"/>
        <v/>
      </c>
      <c r="D166" s="43"/>
    </row>
    <row r="167" spans="1:4">
      <c r="A167" s="89"/>
      <c r="B167" s="90"/>
      <c r="C167" s="87" t="str">
        <f t="shared" ca="1" si="2"/>
        <v/>
      </c>
      <c r="D167" s="43"/>
    </row>
    <row r="168" spans="1:4">
      <c r="A168" s="89"/>
      <c r="B168" s="90"/>
      <c r="C168" s="87" t="str">
        <f t="shared" ca="1" si="2"/>
        <v/>
      </c>
      <c r="D168" s="43"/>
    </row>
    <row r="169" spans="1:4">
      <c r="A169" s="89"/>
      <c r="B169" s="90"/>
      <c r="C169" s="87" t="str">
        <f t="shared" ca="1" si="2"/>
        <v/>
      </c>
      <c r="D169" s="43"/>
    </row>
    <row r="170" spans="1:4">
      <c r="A170" s="89"/>
      <c r="B170" s="90"/>
      <c r="C170" s="87" t="str">
        <f t="shared" ca="1" si="2"/>
        <v/>
      </c>
      <c r="D170" s="43"/>
    </row>
    <row r="171" spans="1:4">
      <c r="A171" s="89"/>
      <c r="B171" s="90"/>
      <c r="C171" s="87" t="str">
        <f t="shared" ca="1" si="2"/>
        <v/>
      </c>
      <c r="D171" s="43"/>
    </row>
    <row r="172" spans="1:4">
      <c r="A172" s="89"/>
      <c r="B172" s="90"/>
      <c r="C172" s="87" t="str">
        <f t="shared" ca="1" si="2"/>
        <v/>
      </c>
      <c r="D172" s="43"/>
    </row>
    <row r="173" spans="1:4">
      <c r="A173" s="89"/>
      <c r="B173" s="90"/>
      <c r="C173" s="87" t="str">
        <f t="shared" ca="1" si="2"/>
        <v/>
      </c>
      <c r="D173" s="43"/>
    </row>
    <row r="174" spans="1:4">
      <c r="A174" s="89"/>
      <c r="B174" s="90"/>
      <c r="C174" s="87" t="str">
        <f t="shared" ca="1" si="2"/>
        <v/>
      </c>
      <c r="D174" s="43"/>
    </row>
    <row r="175" spans="1:4">
      <c r="A175" s="89"/>
      <c r="B175" s="90"/>
      <c r="C175" s="87" t="str">
        <f t="shared" ca="1" si="2"/>
        <v/>
      </c>
      <c r="D175" s="43"/>
    </row>
    <row r="176" spans="1:4">
      <c r="A176" s="89"/>
      <c r="B176" s="90"/>
      <c r="C176" s="87" t="str">
        <f t="shared" ca="1" si="2"/>
        <v/>
      </c>
      <c r="D176" s="43"/>
    </row>
    <row r="177" spans="1:4">
      <c r="A177" s="89"/>
      <c r="B177" s="90"/>
      <c r="C177" s="87" t="str">
        <f t="shared" ca="1" si="2"/>
        <v/>
      </c>
      <c r="D177" s="43"/>
    </row>
    <row r="178" spans="1:4">
      <c r="A178" s="89"/>
      <c r="B178" s="90"/>
      <c r="C178" s="87" t="str">
        <f t="shared" ca="1" si="2"/>
        <v/>
      </c>
      <c r="D178" s="43"/>
    </row>
    <row r="179" spans="1:4">
      <c r="A179" s="89"/>
      <c r="B179" s="90"/>
      <c r="C179" s="87" t="str">
        <f t="shared" ca="1" si="2"/>
        <v/>
      </c>
      <c r="D179" s="43"/>
    </row>
    <row r="180" spans="1:4">
      <c r="A180" s="89"/>
      <c r="B180" s="90"/>
      <c r="C180" s="87" t="str">
        <f t="shared" ca="1" si="2"/>
        <v/>
      </c>
      <c r="D180" s="43"/>
    </row>
    <row r="181" spans="1:4">
      <c r="A181" s="89"/>
      <c r="B181" s="90"/>
      <c r="C181" s="87" t="str">
        <f t="shared" ca="1" si="2"/>
        <v/>
      </c>
      <c r="D181" s="43"/>
    </row>
    <row r="182" spans="1:4">
      <c r="A182" s="89"/>
      <c r="B182" s="90"/>
      <c r="C182" s="87" t="str">
        <f t="shared" ca="1" si="2"/>
        <v/>
      </c>
      <c r="D182" s="43"/>
    </row>
    <row r="183" spans="1:4">
      <c r="A183" s="89"/>
      <c r="B183" s="90"/>
      <c r="C183" s="87" t="str">
        <f t="shared" ca="1" si="2"/>
        <v/>
      </c>
      <c r="D183" s="43"/>
    </row>
    <row r="184" spans="1:4">
      <c r="A184" s="89"/>
      <c r="B184" s="90"/>
      <c r="C184" s="87" t="str">
        <f t="shared" ca="1" si="2"/>
        <v/>
      </c>
      <c r="D184" s="43"/>
    </row>
    <row r="185" spans="1:4">
      <c r="A185" s="89"/>
      <c r="B185" s="90"/>
      <c r="C185" s="87" t="str">
        <f t="shared" ca="1" si="2"/>
        <v/>
      </c>
      <c r="D185" s="43"/>
    </row>
    <row r="186" spans="1:4">
      <c r="A186" s="89"/>
      <c r="B186" s="90"/>
      <c r="C186" s="87" t="str">
        <f t="shared" ca="1" si="2"/>
        <v/>
      </c>
      <c r="D186" s="43"/>
    </row>
    <row r="187" spans="1:4">
      <c r="A187" s="89"/>
      <c r="B187" s="90"/>
      <c r="C187" s="87" t="str">
        <f t="shared" ca="1" si="2"/>
        <v/>
      </c>
      <c r="D187" s="43"/>
    </row>
    <row r="188" spans="1:4">
      <c r="A188" s="89"/>
      <c r="B188" s="90"/>
      <c r="C188" s="87" t="str">
        <f t="shared" ca="1" si="2"/>
        <v/>
      </c>
      <c r="D188" s="43"/>
    </row>
    <row r="189" spans="1:4">
      <c r="A189" s="89"/>
      <c r="B189" s="90"/>
      <c r="C189" s="87" t="str">
        <f t="shared" ca="1" si="2"/>
        <v/>
      </c>
      <c r="D189" s="43"/>
    </row>
    <row r="190" spans="1:4">
      <c r="A190" s="89"/>
      <c r="B190" s="90"/>
      <c r="C190" s="87" t="str">
        <f t="shared" ca="1" si="2"/>
        <v/>
      </c>
      <c r="D190" s="43"/>
    </row>
    <row r="191" spans="1:4">
      <c r="A191" s="89"/>
      <c r="B191" s="90"/>
      <c r="C191" s="87" t="str">
        <f t="shared" ca="1" si="2"/>
        <v/>
      </c>
      <c r="D191" s="43"/>
    </row>
    <row r="192" spans="1:4">
      <c r="A192" s="89"/>
      <c r="B192" s="90"/>
      <c r="C192" s="87" t="str">
        <f t="shared" ca="1" si="2"/>
        <v/>
      </c>
      <c r="D192" s="43"/>
    </row>
    <row r="193" spans="1:4">
      <c r="A193" s="89"/>
      <c r="B193" s="90"/>
      <c r="C193" s="87" t="str">
        <f t="shared" ca="1" si="2"/>
        <v/>
      </c>
      <c r="D193" s="43"/>
    </row>
    <row r="194" spans="1:4">
      <c r="A194" s="89"/>
      <c r="B194" s="90"/>
      <c r="C194" s="87" t="str">
        <f t="shared" ca="1" si="2"/>
        <v/>
      </c>
      <c r="D194" s="43"/>
    </row>
    <row r="195" spans="1:4">
      <c r="A195" s="89"/>
      <c r="B195" s="90"/>
      <c r="C195" s="87" t="str">
        <f t="shared" ref="C195:C258" ca="1" si="3">IF(A195&lt;&gt;"", IF(C195="", NOW(), C195), "")</f>
        <v/>
      </c>
      <c r="D195" s="43"/>
    </row>
    <row r="196" spans="1:4">
      <c r="A196" s="89"/>
      <c r="B196" s="90"/>
      <c r="C196" s="87" t="str">
        <f t="shared" ca="1" si="3"/>
        <v/>
      </c>
      <c r="D196" s="43"/>
    </row>
    <row r="197" spans="1:4">
      <c r="A197" s="89"/>
      <c r="B197" s="90"/>
      <c r="C197" s="87" t="str">
        <f t="shared" ca="1" si="3"/>
        <v/>
      </c>
      <c r="D197" s="43"/>
    </row>
    <row r="198" spans="1:4">
      <c r="A198" s="89"/>
      <c r="B198" s="90"/>
      <c r="C198" s="87" t="str">
        <f t="shared" ca="1" si="3"/>
        <v/>
      </c>
      <c r="D198" s="43"/>
    </row>
    <row r="199" spans="1:4">
      <c r="A199" s="89"/>
      <c r="B199" s="90"/>
      <c r="C199" s="87" t="str">
        <f t="shared" ca="1" si="3"/>
        <v/>
      </c>
      <c r="D199" s="43"/>
    </row>
    <row r="200" spans="1:4">
      <c r="A200" s="89"/>
      <c r="B200" s="90"/>
      <c r="C200" s="87" t="str">
        <f t="shared" ca="1" si="3"/>
        <v/>
      </c>
      <c r="D200" s="43"/>
    </row>
    <row r="201" spans="1:4">
      <c r="A201" s="89"/>
      <c r="B201" s="90"/>
      <c r="C201" s="87" t="str">
        <f t="shared" ca="1" si="3"/>
        <v/>
      </c>
      <c r="D201" s="43"/>
    </row>
    <row r="202" spans="1:4">
      <c r="A202" s="89"/>
      <c r="B202" s="90"/>
      <c r="C202" s="87" t="str">
        <f t="shared" ca="1" si="3"/>
        <v/>
      </c>
      <c r="D202" s="43"/>
    </row>
    <row r="203" spans="1:4">
      <c r="A203" s="89"/>
      <c r="B203" s="90"/>
      <c r="C203" s="87" t="str">
        <f t="shared" ca="1" si="3"/>
        <v/>
      </c>
      <c r="D203" s="43"/>
    </row>
    <row r="204" spans="1:4">
      <c r="A204" s="89"/>
      <c r="B204" s="90"/>
      <c r="C204" s="87" t="str">
        <f t="shared" ca="1" si="3"/>
        <v/>
      </c>
      <c r="D204" s="43"/>
    </row>
    <row r="205" spans="1:4">
      <c r="A205" s="89"/>
      <c r="B205" s="90"/>
      <c r="C205" s="87" t="str">
        <f t="shared" ca="1" si="3"/>
        <v/>
      </c>
      <c r="D205" s="43"/>
    </row>
    <row r="206" spans="1:4">
      <c r="A206" s="89"/>
      <c r="B206" s="90"/>
      <c r="C206" s="87" t="str">
        <f t="shared" ca="1" si="3"/>
        <v/>
      </c>
      <c r="D206" s="43"/>
    </row>
    <row r="207" spans="1:4">
      <c r="A207" s="89"/>
      <c r="B207" s="90"/>
      <c r="C207" s="87" t="str">
        <f t="shared" ca="1" si="3"/>
        <v/>
      </c>
      <c r="D207" s="43"/>
    </row>
    <row r="208" spans="1:4">
      <c r="A208" s="89"/>
      <c r="B208" s="90"/>
      <c r="C208" s="87" t="str">
        <f t="shared" ca="1" si="3"/>
        <v/>
      </c>
      <c r="D208" s="43"/>
    </row>
    <row r="209" spans="1:4">
      <c r="A209" s="89"/>
      <c r="B209" s="90"/>
      <c r="C209" s="87" t="str">
        <f t="shared" ca="1" si="3"/>
        <v/>
      </c>
      <c r="D209" s="43"/>
    </row>
    <row r="210" spans="1:4">
      <c r="A210" s="89"/>
      <c r="B210" s="90"/>
      <c r="C210" s="87" t="str">
        <f t="shared" ca="1" si="3"/>
        <v/>
      </c>
      <c r="D210" s="43"/>
    </row>
    <row r="211" spans="1:4">
      <c r="A211" s="89"/>
      <c r="B211" s="90"/>
      <c r="C211" s="87" t="str">
        <f t="shared" ca="1" si="3"/>
        <v/>
      </c>
      <c r="D211" s="43"/>
    </row>
    <row r="212" spans="1:4">
      <c r="A212" s="89"/>
      <c r="B212" s="90"/>
      <c r="C212" s="87" t="str">
        <f t="shared" ca="1" si="3"/>
        <v/>
      </c>
      <c r="D212" s="43"/>
    </row>
    <row r="213" spans="1:4">
      <c r="A213" s="89"/>
      <c r="B213" s="90"/>
      <c r="C213" s="87" t="str">
        <f t="shared" ca="1" si="3"/>
        <v/>
      </c>
      <c r="D213" s="43"/>
    </row>
    <row r="214" spans="1:4">
      <c r="A214" s="89"/>
      <c r="B214" s="90"/>
      <c r="C214" s="87" t="str">
        <f t="shared" ca="1" si="3"/>
        <v/>
      </c>
      <c r="D214" s="43"/>
    </row>
    <row r="215" spans="1:4">
      <c r="A215" s="89"/>
      <c r="B215" s="90"/>
      <c r="C215" s="87" t="str">
        <f t="shared" ca="1" si="3"/>
        <v/>
      </c>
      <c r="D215" s="43"/>
    </row>
    <row r="216" spans="1:4">
      <c r="A216" s="89"/>
      <c r="B216" s="90"/>
      <c r="C216" s="87" t="str">
        <f t="shared" ca="1" si="3"/>
        <v/>
      </c>
      <c r="D216" s="43"/>
    </row>
    <row r="217" spans="1:4">
      <c r="A217" s="89"/>
      <c r="B217" s="90"/>
      <c r="C217" s="87" t="str">
        <f t="shared" ca="1" si="3"/>
        <v/>
      </c>
      <c r="D217" s="43"/>
    </row>
    <row r="218" spans="1:4">
      <c r="A218" s="89"/>
      <c r="B218" s="90"/>
      <c r="C218" s="87" t="str">
        <f t="shared" ca="1" si="3"/>
        <v/>
      </c>
      <c r="D218" s="43"/>
    </row>
    <row r="219" spans="1:4">
      <c r="A219" s="89"/>
      <c r="B219" s="90"/>
      <c r="C219" s="87" t="str">
        <f t="shared" ca="1" si="3"/>
        <v/>
      </c>
      <c r="D219" s="43"/>
    </row>
    <row r="220" spans="1:4">
      <c r="A220" s="89"/>
      <c r="B220" s="90"/>
      <c r="C220" s="87" t="str">
        <f t="shared" ca="1" si="3"/>
        <v/>
      </c>
      <c r="D220" s="43"/>
    </row>
    <row r="221" spans="1:4">
      <c r="A221" s="89"/>
      <c r="B221" s="90"/>
      <c r="C221" s="87" t="str">
        <f t="shared" ca="1" si="3"/>
        <v/>
      </c>
      <c r="D221" s="43"/>
    </row>
    <row r="222" spans="1:4">
      <c r="A222" s="89"/>
      <c r="B222" s="90"/>
      <c r="C222" s="87" t="str">
        <f t="shared" ca="1" si="3"/>
        <v/>
      </c>
      <c r="D222" s="43"/>
    </row>
    <row r="223" spans="1:4">
      <c r="A223" s="89"/>
      <c r="B223" s="90"/>
      <c r="C223" s="87" t="str">
        <f t="shared" ca="1" si="3"/>
        <v/>
      </c>
      <c r="D223" s="43"/>
    </row>
    <row r="224" spans="1:4">
      <c r="A224" s="89"/>
      <c r="B224" s="90"/>
      <c r="C224" s="87" t="str">
        <f t="shared" ca="1" si="3"/>
        <v/>
      </c>
      <c r="D224" s="43"/>
    </row>
    <row r="225" spans="1:4">
      <c r="A225" s="89"/>
      <c r="B225" s="90"/>
      <c r="C225" s="87" t="str">
        <f t="shared" ca="1" si="3"/>
        <v/>
      </c>
      <c r="D225" s="43"/>
    </row>
    <row r="226" spans="1:4">
      <c r="A226" s="89"/>
      <c r="B226" s="90"/>
      <c r="C226" s="87" t="str">
        <f t="shared" ca="1" si="3"/>
        <v/>
      </c>
      <c r="D226" s="43"/>
    </row>
    <row r="227" spans="1:4">
      <c r="A227" s="89"/>
      <c r="B227" s="90"/>
      <c r="C227" s="87" t="str">
        <f t="shared" ca="1" si="3"/>
        <v/>
      </c>
      <c r="D227" s="43"/>
    </row>
    <row r="228" spans="1:4">
      <c r="A228" s="89"/>
      <c r="B228" s="90"/>
      <c r="C228" s="87" t="str">
        <f t="shared" ca="1" si="3"/>
        <v/>
      </c>
      <c r="D228" s="43"/>
    </row>
    <row r="229" spans="1:4">
      <c r="A229" s="89"/>
      <c r="B229" s="90"/>
      <c r="C229" s="87" t="str">
        <f t="shared" ca="1" si="3"/>
        <v/>
      </c>
      <c r="D229" s="43"/>
    </row>
    <row r="230" spans="1:4">
      <c r="A230" s="89"/>
      <c r="B230" s="90"/>
      <c r="C230" s="87" t="str">
        <f t="shared" ca="1" si="3"/>
        <v/>
      </c>
      <c r="D230" s="43"/>
    </row>
    <row r="231" spans="1:4">
      <c r="A231" s="89"/>
      <c r="B231" s="90"/>
      <c r="C231" s="87" t="str">
        <f t="shared" ca="1" si="3"/>
        <v/>
      </c>
      <c r="D231" s="43"/>
    </row>
    <row r="232" spans="1:4">
      <c r="A232" s="89"/>
      <c r="B232" s="90"/>
      <c r="C232" s="87" t="str">
        <f t="shared" ca="1" si="3"/>
        <v/>
      </c>
      <c r="D232" s="43"/>
    </row>
    <row r="233" spans="1:4">
      <c r="A233" s="89"/>
      <c r="B233" s="90"/>
      <c r="C233" s="87" t="str">
        <f t="shared" ca="1" si="3"/>
        <v/>
      </c>
      <c r="D233" s="43"/>
    </row>
    <row r="234" spans="1:4">
      <c r="A234" s="89"/>
      <c r="B234" s="90"/>
      <c r="C234" s="87" t="str">
        <f t="shared" ca="1" si="3"/>
        <v/>
      </c>
      <c r="D234" s="43"/>
    </row>
    <row r="235" spans="1:4">
      <c r="A235" s="89"/>
      <c r="B235" s="90"/>
      <c r="C235" s="87" t="str">
        <f t="shared" ca="1" si="3"/>
        <v/>
      </c>
      <c r="D235" s="43"/>
    </row>
    <row r="236" spans="1:4">
      <c r="A236" s="89"/>
      <c r="B236" s="90"/>
      <c r="C236" s="87" t="str">
        <f t="shared" ca="1" si="3"/>
        <v/>
      </c>
      <c r="D236" s="43"/>
    </row>
    <row r="237" spans="1:4">
      <c r="A237" s="89"/>
      <c r="B237" s="90"/>
      <c r="C237" s="87" t="str">
        <f t="shared" ca="1" si="3"/>
        <v/>
      </c>
      <c r="D237" s="43"/>
    </row>
    <row r="238" spans="1:4">
      <c r="A238" s="89"/>
      <c r="B238" s="90"/>
      <c r="C238" s="87" t="str">
        <f t="shared" ca="1" si="3"/>
        <v/>
      </c>
      <c r="D238" s="43"/>
    </row>
    <row r="239" spans="1:4">
      <c r="A239" s="89"/>
      <c r="B239" s="90"/>
      <c r="C239" s="87" t="str">
        <f t="shared" ca="1" si="3"/>
        <v/>
      </c>
      <c r="D239" s="43"/>
    </row>
    <row r="240" spans="1:4">
      <c r="A240" s="89"/>
      <c r="B240" s="90"/>
      <c r="C240" s="87" t="str">
        <f t="shared" ca="1" si="3"/>
        <v/>
      </c>
      <c r="D240" s="43"/>
    </row>
    <row r="241" spans="1:4">
      <c r="A241" s="89"/>
      <c r="B241" s="90"/>
      <c r="C241" s="87" t="str">
        <f t="shared" ca="1" si="3"/>
        <v/>
      </c>
      <c r="D241" s="43"/>
    </row>
    <row r="242" spans="1:4">
      <c r="A242" s="89"/>
      <c r="B242" s="90"/>
      <c r="C242" s="87" t="str">
        <f t="shared" ca="1" si="3"/>
        <v/>
      </c>
      <c r="D242" s="43"/>
    </row>
    <row r="243" spans="1:4">
      <c r="A243" s="89"/>
      <c r="B243" s="90"/>
      <c r="C243" s="87" t="str">
        <f t="shared" ca="1" si="3"/>
        <v/>
      </c>
      <c r="D243" s="43"/>
    </row>
    <row r="244" spans="1:4">
      <c r="A244" s="89"/>
      <c r="B244" s="90"/>
      <c r="C244" s="87" t="str">
        <f t="shared" ca="1" si="3"/>
        <v/>
      </c>
      <c r="D244" s="43"/>
    </row>
    <row r="245" spans="1:4">
      <c r="A245" s="89"/>
      <c r="B245" s="90"/>
      <c r="C245" s="87" t="str">
        <f t="shared" ca="1" si="3"/>
        <v/>
      </c>
      <c r="D245" s="43"/>
    </row>
    <row r="246" spans="1:4">
      <c r="A246" s="89"/>
      <c r="B246" s="90"/>
      <c r="C246" s="87" t="str">
        <f t="shared" ca="1" si="3"/>
        <v/>
      </c>
      <c r="D246" s="43"/>
    </row>
    <row r="247" spans="1:4">
      <c r="A247" s="89"/>
      <c r="B247" s="90"/>
      <c r="C247" s="87" t="str">
        <f t="shared" ca="1" si="3"/>
        <v/>
      </c>
      <c r="D247" s="43"/>
    </row>
    <row r="248" spans="1:4">
      <c r="A248" s="89"/>
      <c r="B248" s="90"/>
      <c r="C248" s="87" t="str">
        <f t="shared" ca="1" si="3"/>
        <v/>
      </c>
      <c r="D248" s="43"/>
    </row>
    <row r="249" spans="1:4">
      <c r="A249" s="89"/>
      <c r="B249" s="90"/>
      <c r="C249" s="87" t="str">
        <f t="shared" ca="1" si="3"/>
        <v/>
      </c>
      <c r="D249" s="43"/>
    </row>
    <row r="250" spans="1:4">
      <c r="A250" s="89"/>
      <c r="B250" s="90"/>
      <c r="C250" s="87" t="str">
        <f t="shared" ca="1" si="3"/>
        <v/>
      </c>
      <c r="D250" s="43"/>
    </row>
    <row r="251" spans="1:4">
      <c r="A251" s="89"/>
      <c r="B251" s="90"/>
      <c r="C251" s="87" t="str">
        <f t="shared" ca="1" si="3"/>
        <v/>
      </c>
      <c r="D251" s="43"/>
    </row>
    <row r="252" spans="1:4">
      <c r="A252" s="89"/>
      <c r="B252" s="90"/>
      <c r="C252" s="87" t="str">
        <f t="shared" ca="1" si="3"/>
        <v/>
      </c>
      <c r="D252" s="43"/>
    </row>
    <row r="253" spans="1:4">
      <c r="A253" s="89"/>
      <c r="B253" s="90"/>
      <c r="C253" s="87" t="str">
        <f t="shared" ca="1" si="3"/>
        <v/>
      </c>
      <c r="D253" s="43"/>
    </row>
    <row r="254" spans="1:4">
      <c r="A254" s="89"/>
      <c r="B254" s="90"/>
      <c r="C254" s="87" t="str">
        <f t="shared" ca="1" si="3"/>
        <v/>
      </c>
      <c r="D254" s="43"/>
    </row>
    <row r="255" spans="1:4">
      <c r="A255" s="89"/>
      <c r="B255" s="90"/>
      <c r="C255" s="87" t="str">
        <f t="shared" ca="1" si="3"/>
        <v/>
      </c>
      <c r="D255" s="43"/>
    </row>
    <row r="256" spans="1:4">
      <c r="A256" s="89"/>
      <c r="B256" s="90"/>
      <c r="C256" s="87" t="str">
        <f t="shared" ca="1" si="3"/>
        <v/>
      </c>
      <c r="D256" s="43"/>
    </row>
    <row r="257" spans="1:4">
      <c r="A257" s="89"/>
      <c r="B257" s="90"/>
      <c r="C257" s="87" t="str">
        <f t="shared" ca="1" si="3"/>
        <v/>
      </c>
      <c r="D257" s="43"/>
    </row>
    <row r="258" spans="1:4">
      <c r="A258" s="89"/>
      <c r="B258" s="90"/>
      <c r="C258" s="87" t="str">
        <f t="shared" ca="1" si="3"/>
        <v/>
      </c>
      <c r="D258" s="43"/>
    </row>
    <row r="259" spans="1:4">
      <c r="A259" s="89"/>
      <c r="B259" s="90"/>
      <c r="C259" s="87" t="str">
        <f t="shared" ref="C259:C322" ca="1" si="4">IF(A259&lt;&gt;"", IF(C259="", NOW(), C259), "")</f>
        <v/>
      </c>
      <c r="D259" s="43"/>
    </row>
    <row r="260" spans="1:4">
      <c r="A260" s="89"/>
      <c r="B260" s="90"/>
      <c r="C260" s="87" t="str">
        <f t="shared" ca="1" si="4"/>
        <v/>
      </c>
      <c r="D260" s="43"/>
    </row>
    <row r="261" spans="1:4">
      <c r="A261" s="89"/>
      <c r="B261" s="90"/>
      <c r="C261" s="87" t="str">
        <f t="shared" ca="1" si="4"/>
        <v/>
      </c>
      <c r="D261" s="43"/>
    </row>
    <row r="262" spans="1:4">
      <c r="A262" s="89"/>
      <c r="B262" s="90"/>
      <c r="C262" s="87" t="str">
        <f t="shared" ca="1" si="4"/>
        <v/>
      </c>
      <c r="D262" s="43"/>
    </row>
    <row r="263" spans="1:4">
      <c r="A263" s="89"/>
      <c r="B263" s="90"/>
      <c r="C263" s="87" t="str">
        <f t="shared" ca="1" si="4"/>
        <v/>
      </c>
      <c r="D263" s="43"/>
    </row>
    <row r="264" spans="1:4">
      <c r="A264" s="89"/>
      <c r="B264" s="90"/>
      <c r="C264" s="87" t="str">
        <f t="shared" ca="1" si="4"/>
        <v/>
      </c>
      <c r="D264" s="43"/>
    </row>
    <row r="265" spans="1:4">
      <c r="A265" s="89"/>
      <c r="B265" s="90"/>
      <c r="C265" s="87" t="str">
        <f t="shared" ca="1" si="4"/>
        <v/>
      </c>
      <c r="D265" s="43"/>
    </row>
    <row r="266" spans="1:4">
      <c r="A266" s="89"/>
      <c r="B266" s="90"/>
      <c r="C266" s="87" t="str">
        <f t="shared" ca="1" si="4"/>
        <v/>
      </c>
      <c r="D266" s="43"/>
    </row>
    <row r="267" spans="1:4">
      <c r="A267" s="89"/>
      <c r="B267" s="90"/>
      <c r="C267" s="87" t="str">
        <f t="shared" ca="1" si="4"/>
        <v/>
      </c>
      <c r="D267" s="43"/>
    </row>
    <row r="268" spans="1:4">
      <c r="A268" s="89"/>
      <c r="B268" s="90"/>
      <c r="C268" s="87" t="str">
        <f t="shared" ca="1" si="4"/>
        <v/>
      </c>
      <c r="D268" s="43"/>
    </row>
    <row r="269" spans="1:4">
      <c r="A269" s="89"/>
      <c r="B269" s="90"/>
      <c r="C269" s="87" t="str">
        <f t="shared" ca="1" si="4"/>
        <v/>
      </c>
      <c r="D269" s="43"/>
    </row>
    <row r="270" spans="1:4">
      <c r="A270" s="89"/>
      <c r="B270" s="90"/>
      <c r="C270" s="87" t="str">
        <f t="shared" ca="1" si="4"/>
        <v/>
      </c>
      <c r="D270" s="43"/>
    </row>
    <row r="271" spans="1:4">
      <c r="A271" s="89"/>
      <c r="B271" s="90"/>
      <c r="C271" s="87" t="str">
        <f t="shared" ca="1" si="4"/>
        <v/>
      </c>
      <c r="D271" s="43"/>
    </row>
    <row r="272" spans="1:4">
      <c r="A272" s="89"/>
      <c r="B272" s="90"/>
      <c r="C272" s="87" t="str">
        <f t="shared" ca="1" si="4"/>
        <v/>
      </c>
      <c r="D272" s="43"/>
    </row>
    <row r="273" spans="1:4">
      <c r="A273" s="89"/>
      <c r="B273" s="90"/>
      <c r="C273" s="87" t="str">
        <f t="shared" ca="1" si="4"/>
        <v/>
      </c>
      <c r="D273" s="43"/>
    </row>
    <row r="274" spans="1:4">
      <c r="A274" s="89"/>
      <c r="B274" s="90"/>
      <c r="C274" s="87" t="str">
        <f t="shared" ca="1" si="4"/>
        <v/>
      </c>
      <c r="D274" s="43"/>
    </row>
    <row r="275" spans="1:4">
      <c r="A275" s="89"/>
      <c r="B275" s="90"/>
      <c r="C275" s="87" t="str">
        <f t="shared" ca="1" si="4"/>
        <v/>
      </c>
      <c r="D275" s="43"/>
    </row>
    <row r="276" spans="1:4">
      <c r="A276" s="89"/>
      <c r="B276" s="90"/>
      <c r="C276" s="87" t="str">
        <f t="shared" ca="1" si="4"/>
        <v/>
      </c>
      <c r="D276" s="43"/>
    </row>
    <row r="277" spans="1:4">
      <c r="A277" s="89"/>
      <c r="B277" s="90"/>
      <c r="C277" s="87" t="str">
        <f t="shared" ca="1" si="4"/>
        <v/>
      </c>
      <c r="D277" s="43"/>
    </row>
    <row r="278" spans="1:4">
      <c r="A278" s="89"/>
      <c r="B278" s="90"/>
      <c r="C278" s="87" t="str">
        <f t="shared" ca="1" si="4"/>
        <v/>
      </c>
      <c r="D278" s="43"/>
    </row>
    <row r="279" spans="1:4">
      <c r="A279" s="89"/>
      <c r="B279" s="90"/>
      <c r="C279" s="87" t="str">
        <f t="shared" ca="1" si="4"/>
        <v/>
      </c>
      <c r="D279" s="43"/>
    </row>
    <row r="280" spans="1:4">
      <c r="A280" s="89"/>
      <c r="B280" s="90"/>
      <c r="C280" s="87" t="str">
        <f t="shared" ca="1" si="4"/>
        <v/>
      </c>
      <c r="D280" s="43"/>
    </row>
    <row r="281" spans="1:4">
      <c r="A281" s="89"/>
      <c r="B281" s="90"/>
      <c r="C281" s="87" t="str">
        <f t="shared" ca="1" si="4"/>
        <v/>
      </c>
      <c r="D281" s="43"/>
    </row>
    <row r="282" spans="1:4">
      <c r="A282" s="89"/>
      <c r="B282" s="90"/>
      <c r="C282" s="87" t="str">
        <f t="shared" ca="1" si="4"/>
        <v/>
      </c>
      <c r="D282" s="43"/>
    </row>
    <row r="283" spans="1:4">
      <c r="A283" s="89"/>
      <c r="B283" s="90"/>
      <c r="C283" s="87" t="str">
        <f t="shared" ca="1" si="4"/>
        <v/>
      </c>
      <c r="D283" s="43"/>
    </row>
    <row r="284" spans="1:4">
      <c r="A284" s="89"/>
      <c r="B284" s="90"/>
      <c r="C284" s="87" t="str">
        <f t="shared" ca="1" si="4"/>
        <v/>
      </c>
      <c r="D284" s="43"/>
    </row>
    <row r="285" spans="1:4">
      <c r="A285" s="89"/>
      <c r="B285" s="90"/>
      <c r="C285" s="87" t="str">
        <f t="shared" ca="1" si="4"/>
        <v/>
      </c>
      <c r="D285" s="43"/>
    </row>
    <row r="286" spans="1:4">
      <c r="A286" s="89"/>
      <c r="B286" s="90"/>
      <c r="C286" s="87" t="str">
        <f t="shared" ca="1" si="4"/>
        <v/>
      </c>
      <c r="D286" s="43"/>
    </row>
    <row r="287" spans="1:4">
      <c r="A287" s="89"/>
      <c r="B287" s="90"/>
      <c r="C287" s="87" t="str">
        <f t="shared" ca="1" si="4"/>
        <v/>
      </c>
      <c r="D287" s="43"/>
    </row>
    <row r="288" spans="1:4">
      <c r="A288" s="89"/>
      <c r="B288" s="90"/>
      <c r="C288" s="87" t="str">
        <f t="shared" ca="1" si="4"/>
        <v/>
      </c>
      <c r="D288" s="43"/>
    </row>
    <row r="289" spans="1:4">
      <c r="A289" s="89"/>
      <c r="B289" s="90"/>
      <c r="C289" s="87" t="str">
        <f t="shared" ca="1" si="4"/>
        <v/>
      </c>
      <c r="D289" s="43"/>
    </row>
    <row r="290" spans="1:4">
      <c r="A290" s="89"/>
      <c r="B290" s="90"/>
      <c r="C290" s="87" t="str">
        <f t="shared" ca="1" si="4"/>
        <v/>
      </c>
      <c r="D290" s="43"/>
    </row>
    <row r="291" spans="1:4">
      <c r="A291" s="89"/>
      <c r="B291" s="90"/>
      <c r="C291" s="87" t="str">
        <f t="shared" ca="1" si="4"/>
        <v/>
      </c>
      <c r="D291" s="43"/>
    </row>
    <row r="292" spans="1:4">
      <c r="A292" s="89"/>
      <c r="B292" s="90"/>
      <c r="C292" s="87" t="str">
        <f t="shared" ca="1" si="4"/>
        <v/>
      </c>
      <c r="D292" s="43"/>
    </row>
    <row r="293" spans="1:4">
      <c r="A293" s="89"/>
      <c r="B293" s="90"/>
      <c r="C293" s="87" t="str">
        <f t="shared" ca="1" si="4"/>
        <v/>
      </c>
      <c r="D293" s="43"/>
    </row>
    <row r="294" spans="1:4">
      <c r="A294" s="89"/>
      <c r="B294" s="90"/>
      <c r="C294" s="87" t="str">
        <f t="shared" ca="1" si="4"/>
        <v/>
      </c>
      <c r="D294" s="43"/>
    </row>
    <row r="295" spans="1:4">
      <c r="A295" s="89"/>
      <c r="B295" s="90"/>
      <c r="C295" s="87" t="str">
        <f t="shared" ca="1" si="4"/>
        <v/>
      </c>
      <c r="D295" s="43"/>
    </row>
    <row r="296" spans="1:4">
      <c r="A296" s="89"/>
      <c r="B296" s="90"/>
      <c r="C296" s="87" t="str">
        <f t="shared" ca="1" si="4"/>
        <v/>
      </c>
      <c r="D296" s="43"/>
    </row>
    <row r="297" spans="1:4">
      <c r="A297" s="89"/>
      <c r="B297" s="90"/>
      <c r="C297" s="87" t="str">
        <f t="shared" ca="1" si="4"/>
        <v/>
      </c>
      <c r="D297" s="43"/>
    </row>
    <row r="298" spans="1:4">
      <c r="A298" s="89"/>
      <c r="B298" s="90"/>
      <c r="C298" s="87" t="str">
        <f t="shared" ca="1" si="4"/>
        <v/>
      </c>
      <c r="D298" s="43"/>
    </row>
    <row r="299" spans="1:4">
      <c r="A299" s="89"/>
      <c r="B299" s="90"/>
      <c r="C299" s="87" t="str">
        <f t="shared" ca="1" si="4"/>
        <v/>
      </c>
      <c r="D299" s="43"/>
    </row>
    <row r="300" spans="1:4">
      <c r="A300" s="89"/>
      <c r="B300" s="90"/>
      <c r="C300" s="87" t="str">
        <f t="shared" ca="1" si="4"/>
        <v/>
      </c>
      <c r="D300" s="43"/>
    </row>
    <row r="301" spans="1:4">
      <c r="A301" s="89"/>
      <c r="B301" s="90"/>
      <c r="C301" s="87" t="str">
        <f t="shared" ca="1" si="4"/>
        <v/>
      </c>
      <c r="D301" s="43"/>
    </row>
    <row r="302" spans="1:4">
      <c r="A302" s="89"/>
      <c r="B302" s="90"/>
      <c r="C302" s="87" t="str">
        <f t="shared" ca="1" si="4"/>
        <v/>
      </c>
      <c r="D302" s="43"/>
    </row>
    <row r="303" spans="1:4">
      <c r="A303" s="89"/>
      <c r="B303" s="90"/>
      <c r="C303" s="87" t="str">
        <f t="shared" ca="1" si="4"/>
        <v/>
      </c>
      <c r="D303" s="43"/>
    </row>
    <row r="304" spans="1:4">
      <c r="A304" s="89"/>
      <c r="B304" s="90"/>
      <c r="C304" s="87" t="str">
        <f t="shared" ca="1" si="4"/>
        <v/>
      </c>
      <c r="D304" s="43"/>
    </row>
    <row r="305" spans="1:4">
      <c r="A305" s="89"/>
      <c r="B305" s="90"/>
      <c r="C305" s="87" t="str">
        <f t="shared" ca="1" si="4"/>
        <v/>
      </c>
      <c r="D305" s="43"/>
    </row>
    <row r="306" spans="1:4">
      <c r="A306" s="89"/>
      <c r="B306" s="90"/>
      <c r="C306" s="87" t="str">
        <f t="shared" ca="1" si="4"/>
        <v/>
      </c>
      <c r="D306" s="43"/>
    </row>
    <row r="307" spans="1:4">
      <c r="A307" s="89"/>
      <c r="B307" s="90"/>
      <c r="C307" s="87" t="str">
        <f t="shared" ca="1" si="4"/>
        <v/>
      </c>
      <c r="D307" s="43"/>
    </row>
    <row r="308" spans="1:4">
      <c r="A308" s="89"/>
      <c r="B308" s="90"/>
      <c r="C308" s="87" t="str">
        <f t="shared" ca="1" si="4"/>
        <v/>
      </c>
      <c r="D308" s="43"/>
    </row>
    <row r="309" spans="1:4">
      <c r="A309" s="89"/>
      <c r="B309" s="90"/>
      <c r="C309" s="87" t="str">
        <f t="shared" ca="1" si="4"/>
        <v/>
      </c>
      <c r="D309" s="43"/>
    </row>
    <row r="310" spans="1:4">
      <c r="A310" s="89"/>
      <c r="B310" s="90"/>
      <c r="C310" s="87" t="str">
        <f t="shared" ca="1" si="4"/>
        <v/>
      </c>
      <c r="D310" s="43"/>
    </row>
    <row r="311" spans="1:4">
      <c r="A311" s="89"/>
      <c r="B311" s="90"/>
      <c r="C311" s="87" t="str">
        <f t="shared" ca="1" si="4"/>
        <v/>
      </c>
      <c r="D311" s="43"/>
    </row>
    <row r="312" spans="1:4">
      <c r="A312" s="89"/>
      <c r="B312" s="90"/>
      <c r="C312" s="87" t="str">
        <f t="shared" ca="1" si="4"/>
        <v/>
      </c>
      <c r="D312" s="43"/>
    </row>
    <row r="313" spans="1:4">
      <c r="A313" s="89"/>
      <c r="B313" s="90"/>
      <c r="C313" s="87" t="str">
        <f t="shared" ca="1" si="4"/>
        <v/>
      </c>
      <c r="D313" s="43"/>
    </row>
    <row r="314" spans="1:4">
      <c r="A314" s="89"/>
      <c r="B314" s="90"/>
      <c r="C314" s="87" t="str">
        <f t="shared" ca="1" si="4"/>
        <v/>
      </c>
      <c r="D314" s="43"/>
    </row>
    <row r="315" spans="1:4">
      <c r="A315" s="89"/>
      <c r="B315" s="90"/>
      <c r="C315" s="87" t="str">
        <f t="shared" ca="1" si="4"/>
        <v/>
      </c>
      <c r="D315" s="43"/>
    </row>
    <row r="316" spans="1:4">
      <c r="A316" s="89"/>
      <c r="B316" s="90"/>
      <c r="C316" s="87" t="str">
        <f t="shared" ca="1" si="4"/>
        <v/>
      </c>
      <c r="D316" s="43"/>
    </row>
    <row r="317" spans="1:4">
      <c r="A317" s="89"/>
      <c r="B317" s="90"/>
      <c r="C317" s="87" t="str">
        <f t="shared" ca="1" si="4"/>
        <v/>
      </c>
      <c r="D317" s="43"/>
    </row>
    <row r="318" spans="1:4">
      <c r="A318" s="89"/>
      <c r="B318" s="90"/>
      <c r="C318" s="87" t="str">
        <f t="shared" ca="1" si="4"/>
        <v/>
      </c>
      <c r="D318" s="43"/>
    </row>
    <row r="319" spans="1:4">
      <c r="A319" s="89"/>
      <c r="B319" s="90"/>
      <c r="C319" s="87" t="str">
        <f t="shared" ca="1" si="4"/>
        <v/>
      </c>
      <c r="D319" s="43"/>
    </row>
    <row r="320" spans="1:4">
      <c r="A320" s="89"/>
      <c r="B320" s="90"/>
      <c r="C320" s="87" t="str">
        <f t="shared" ca="1" si="4"/>
        <v/>
      </c>
      <c r="D320" s="43"/>
    </row>
    <row r="321" spans="1:4">
      <c r="A321" s="89"/>
      <c r="B321" s="90"/>
      <c r="C321" s="87" t="str">
        <f t="shared" ca="1" si="4"/>
        <v/>
      </c>
      <c r="D321" s="43"/>
    </row>
    <row r="322" spans="1:4">
      <c r="A322" s="89"/>
      <c r="B322" s="90"/>
      <c r="C322" s="87" t="str">
        <f t="shared" ca="1" si="4"/>
        <v/>
      </c>
      <c r="D322" s="43"/>
    </row>
    <row r="323" spans="1:4">
      <c r="A323" s="89"/>
      <c r="B323" s="90"/>
      <c r="C323" s="87" t="str">
        <f t="shared" ref="C323:C386" ca="1" si="5">IF(A323&lt;&gt;"", IF(C323="", NOW(), C323), "")</f>
        <v/>
      </c>
      <c r="D323" s="43"/>
    </row>
    <row r="324" spans="1:4">
      <c r="A324" s="89"/>
      <c r="B324" s="90"/>
      <c r="C324" s="87" t="str">
        <f t="shared" ca="1" si="5"/>
        <v/>
      </c>
      <c r="D324" s="43"/>
    </row>
    <row r="325" spans="1:4">
      <c r="A325" s="89"/>
      <c r="B325" s="90"/>
      <c r="C325" s="87" t="str">
        <f t="shared" ca="1" si="5"/>
        <v/>
      </c>
      <c r="D325" s="43"/>
    </row>
    <row r="326" spans="1:4">
      <c r="A326" s="89"/>
      <c r="B326" s="90"/>
      <c r="C326" s="87" t="str">
        <f t="shared" ca="1" si="5"/>
        <v/>
      </c>
      <c r="D326" s="43"/>
    </row>
    <row r="327" spans="1:4">
      <c r="A327" s="89"/>
      <c r="B327" s="90"/>
      <c r="C327" s="87" t="str">
        <f t="shared" ca="1" si="5"/>
        <v/>
      </c>
      <c r="D327" s="43"/>
    </row>
    <row r="328" spans="1:4">
      <c r="A328" s="89"/>
      <c r="B328" s="90"/>
      <c r="C328" s="87" t="str">
        <f t="shared" ca="1" si="5"/>
        <v/>
      </c>
      <c r="D328" s="43"/>
    </row>
    <row r="329" spans="1:4">
      <c r="A329" s="89"/>
      <c r="B329" s="90"/>
      <c r="C329" s="87" t="str">
        <f t="shared" ca="1" si="5"/>
        <v/>
      </c>
      <c r="D329" s="43"/>
    </row>
    <row r="330" spans="1:4">
      <c r="A330" s="89"/>
      <c r="B330" s="90"/>
      <c r="C330" s="87" t="str">
        <f t="shared" ca="1" si="5"/>
        <v/>
      </c>
      <c r="D330" s="43"/>
    </row>
    <row r="331" spans="1:4">
      <c r="A331" s="89"/>
      <c r="B331" s="90"/>
      <c r="C331" s="87" t="str">
        <f t="shared" ca="1" si="5"/>
        <v/>
      </c>
      <c r="D331" s="43"/>
    </row>
    <row r="332" spans="1:4">
      <c r="A332" s="89"/>
      <c r="B332" s="90"/>
      <c r="C332" s="87" t="str">
        <f t="shared" ca="1" si="5"/>
        <v/>
      </c>
      <c r="D332" s="43"/>
    </row>
    <row r="333" spans="1:4">
      <c r="A333" s="89"/>
      <c r="B333" s="90"/>
      <c r="C333" s="87" t="str">
        <f t="shared" ca="1" si="5"/>
        <v/>
      </c>
      <c r="D333" s="43"/>
    </row>
    <row r="334" spans="1:4">
      <c r="A334" s="89"/>
      <c r="B334" s="90"/>
      <c r="C334" s="87" t="str">
        <f t="shared" ca="1" si="5"/>
        <v/>
      </c>
      <c r="D334" s="43"/>
    </row>
    <row r="335" spans="1:4">
      <c r="A335" s="89"/>
      <c r="B335" s="90"/>
      <c r="C335" s="87" t="str">
        <f t="shared" ca="1" si="5"/>
        <v/>
      </c>
      <c r="D335" s="43"/>
    </row>
    <row r="336" spans="1:4">
      <c r="A336" s="89"/>
      <c r="B336" s="90"/>
      <c r="C336" s="87" t="str">
        <f t="shared" ca="1" si="5"/>
        <v/>
      </c>
      <c r="D336" s="43"/>
    </row>
    <row r="337" spans="1:4">
      <c r="A337" s="89"/>
      <c r="B337" s="90"/>
      <c r="C337" s="87" t="str">
        <f t="shared" ca="1" si="5"/>
        <v/>
      </c>
      <c r="D337" s="43"/>
    </row>
    <row r="338" spans="1:4">
      <c r="A338" s="89"/>
      <c r="B338" s="90"/>
      <c r="C338" s="87" t="str">
        <f t="shared" ca="1" si="5"/>
        <v/>
      </c>
      <c r="D338" s="43"/>
    </row>
    <row r="339" spans="1:4">
      <c r="A339" s="89"/>
      <c r="B339" s="90"/>
      <c r="C339" s="87" t="str">
        <f t="shared" ca="1" si="5"/>
        <v/>
      </c>
      <c r="D339" s="43"/>
    </row>
    <row r="340" spans="1:4">
      <c r="A340" s="89"/>
      <c r="B340" s="90"/>
      <c r="C340" s="87" t="str">
        <f t="shared" ca="1" si="5"/>
        <v/>
      </c>
      <c r="D340" s="43"/>
    </row>
    <row r="341" spans="1:4">
      <c r="A341" s="89"/>
      <c r="B341" s="90"/>
      <c r="C341" s="87" t="str">
        <f t="shared" ca="1" si="5"/>
        <v/>
      </c>
      <c r="D341" s="43"/>
    </row>
    <row r="342" spans="1:4">
      <c r="A342" s="89"/>
      <c r="B342" s="90"/>
      <c r="C342" s="87" t="str">
        <f t="shared" ca="1" si="5"/>
        <v/>
      </c>
      <c r="D342" s="43"/>
    </row>
    <row r="343" spans="1:4">
      <c r="A343" s="89"/>
      <c r="B343" s="90"/>
      <c r="C343" s="87" t="str">
        <f t="shared" ca="1" si="5"/>
        <v/>
      </c>
      <c r="D343" s="43"/>
    </row>
    <row r="344" spans="1:4">
      <c r="A344" s="89"/>
      <c r="B344" s="90"/>
      <c r="C344" s="87" t="str">
        <f t="shared" ca="1" si="5"/>
        <v/>
      </c>
      <c r="D344" s="43"/>
    </row>
    <row r="345" spans="1:4">
      <c r="A345" s="89"/>
      <c r="B345" s="90"/>
      <c r="C345" s="87" t="str">
        <f t="shared" ca="1" si="5"/>
        <v/>
      </c>
      <c r="D345" s="43"/>
    </row>
    <row r="346" spans="1:4">
      <c r="A346" s="89"/>
      <c r="B346" s="90"/>
      <c r="C346" s="87" t="str">
        <f t="shared" ca="1" si="5"/>
        <v/>
      </c>
      <c r="D346" s="43"/>
    </row>
    <row r="347" spans="1:4">
      <c r="A347" s="89"/>
      <c r="B347" s="90"/>
      <c r="C347" s="87" t="str">
        <f t="shared" ca="1" si="5"/>
        <v/>
      </c>
      <c r="D347" s="43"/>
    </row>
    <row r="348" spans="1:4">
      <c r="A348" s="89"/>
      <c r="B348" s="90"/>
      <c r="C348" s="87" t="str">
        <f t="shared" ca="1" si="5"/>
        <v/>
      </c>
      <c r="D348" s="43"/>
    </row>
    <row r="349" spans="1:4">
      <c r="A349" s="89"/>
      <c r="B349" s="90"/>
      <c r="C349" s="87" t="str">
        <f t="shared" ca="1" si="5"/>
        <v/>
      </c>
      <c r="D349" s="43"/>
    </row>
    <row r="350" spans="1:4">
      <c r="A350" s="89"/>
      <c r="B350" s="90"/>
      <c r="C350" s="87" t="str">
        <f t="shared" ca="1" si="5"/>
        <v/>
      </c>
      <c r="D350" s="43"/>
    </row>
    <row r="351" spans="1:4">
      <c r="A351" s="89"/>
      <c r="B351" s="90"/>
      <c r="C351" s="87" t="str">
        <f t="shared" ca="1" si="5"/>
        <v/>
      </c>
      <c r="D351" s="43"/>
    </row>
    <row r="352" spans="1:4">
      <c r="A352" s="89"/>
      <c r="B352" s="90"/>
      <c r="C352" s="87" t="str">
        <f t="shared" ca="1" si="5"/>
        <v/>
      </c>
      <c r="D352" s="43"/>
    </row>
    <row r="353" spans="1:4">
      <c r="A353" s="89"/>
      <c r="B353" s="90"/>
      <c r="C353" s="87" t="str">
        <f t="shared" ca="1" si="5"/>
        <v/>
      </c>
      <c r="D353" s="43"/>
    </row>
    <row r="354" spans="1:4">
      <c r="A354" s="89"/>
      <c r="B354" s="90"/>
      <c r="C354" s="87" t="str">
        <f t="shared" ca="1" si="5"/>
        <v/>
      </c>
      <c r="D354" s="43"/>
    </row>
    <row r="355" spans="1:4">
      <c r="A355" s="89"/>
      <c r="B355" s="90"/>
      <c r="C355" s="87" t="str">
        <f t="shared" ca="1" si="5"/>
        <v/>
      </c>
      <c r="D355" s="43"/>
    </row>
    <row r="356" spans="1:4">
      <c r="A356" s="89"/>
      <c r="B356" s="90"/>
      <c r="C356" s="87" t="str">
        <f t="shared" ca="1" si="5"/>
        <v/>
      </c>
      <c r="D356" s="43"/>
    </row>
    <row r="357" spans="1:4">
      <c r="A357" s="89"/>
      <c r="B357" s="90"/>
      <c r="C357" s="87" t="str">
        <f t="shared" ca="1" si="5"/>
        <v/>
      </c>
      <c r="D357" s="43"/>
    </row>
    <row r="358" spans="1:4">
      <c r="A358" s="89"/>
      <c r="B358" s="90"/>
      <c r="C358" s="87" t="str">
        <f t="shared" ca="1" si="5"/>
        <v/>
      </c>
      <c r="D358" s="43"/>
    </row>
    <row r="359" spans="1:4">
      <c r="A359" s="89"/>
      <c r="B359" s="90"/>
      <c r="C359" s="87" t="str">
        <f t="shared" ca="1" si="5"/>
        <v/>
      </c>
      <c r="D359" s="43"/>
    </row>
    <row r="360" spans="1:4">
      <c r="A360" s="89"/>
      <c r="B360" s="90"/>
      <c r="C360" s="87" t="str">
        <f t="shared" ca="1" si="5"/>
        <v/>
      </c>
      <c r="D360" s="43"/>
    </row>
    <row r="361" spans="1:4">
      <c r="A361" s="89"/>
      <c r="B361" s="90"/>
      <c r="C361" s="87" t="str">
        <f t="shared" ca="1" si="5"/>
        <v/>
      </c>
      <c r="D361" s="43"/>
    </row>
    <row r="362" spans="1:4">
      <c r="A362" s="89"/>
      <c r="B362" s="90"/>
      <c r="C362" s="87" t="str">
        <f t="shared" ca="1" si="5"/>
        <v/>
      </c>
      <c r="D362" s="43"/>
    </row>
    <row r="363" spans="1:4">
      <c r="A363" s="89"/>
      <c r="B363" s="90"/>
      <c r="C363" s="87" t="str">
        <f t="shared" ca="1" si="5"/>
        <v/>
      </c>
      <c r="D363" s="43"/>
    </row>
    <row r="364" spans="1:4">
      <c r="A364" s="89"/>
      <c r="B364" s="90"/>
      <c r="C364" s="87" t="str">
        <f t="shared" ca="1" si="5"/>
        <v/>
      </c>
      <c r="D364" s="43"/>
    </row>
    <row r="365" spans="1:4">
      <c r="A365" s="89"/>
      <c r="B365" s="90"/>
      <c r="C365" s="87" t="str">
        <f t="shared" ca="1" si="5"/>
        <v/>
      </c>
      <c r="D365" s="43"/>
    </row>
    <row r="366" spans="1:4">
      <c r="A366" s="89"/>
      <c r="B366" s="90"/>
      <c r="C366" s="87" t="str">
        <f t="shared" ca="1" si="5"/>
        <v/>
      </c>
      <c r="D366" s="43"/>
    </row>
    <row r="367" spans="1:4">
      <c r="A367" s="89"/>
      <c r="B367" s="90"/>
      <c r="C367" s="87" t="str">
        <f t="shared" ca="1" si="5"/>
        <v/>
      </c>
      <c r="D367" s="43"/>
    </row>
    <row r="368" spans="1:4">
      <c r="A368" s="89"/>
      <c r="B368" s="90"/>
      <c r="C368" s="87" t="str">
        <f t="shared" ca="1" si="5"/>
        <v/>
      </c>
      <c r="D368" s="43"/>
    </row>
    <row r="369" spans="1:4">
      <c r="A369" s="89"/>
      <c r="B369" s="90"/>
      <c r="C369" s="87" t="str">
        <f t="shared" ca="1" si="5"/>
        <v/>
      </c>
      <c r="D369" s="43"/>
    </row>
    <row r="370" spans="1:4">
      <c r="A370" s="89"/>
      <c r="B370" s="90"/>
      <c r="C370" s="87" t="str">
        <f t="shared" ca="1" si="5"/>
        <v/>
      </c>
      <c r="D370" s="43"/>
    </row>
    <row r="371" spans="1:4">
      <c r="A371" s="89"/>
      <c r="B371" s="90"/>
      <c r="C371" s="87" t="str">
        <f t="shared" ca="1" si="5"/>
        <v/>
      </c>
      <c r="D371" s="43"/>
    </row>
    <row r="372" spans="1:4">
      <c r="A372" s="89"/>
      <c r="B372" s="90"/>
      <c r="C372" s="87" t="str">
        <f t="shared" ca="1" si="5"/>
        <v/>
      </c>
      <c r="D372" s="43"/>
    </row>
    <row r="373" spans="1:4">
      <c r="A373" s="89"/>
      <c r="B373" s="90"/>
      <c r="C373" s="87" t="str">
        <f t="shared" ca="1" si="5"/>
        <v/>
      </c>
      <c r="D373" s="43"/>
    </row>
    <row r="374" spans="1:4">
      <c r="A374" s="89"/>
      <c r="B374" s="90"/>
      <c r="C374" s="87" t="str">
        <f t="shared" ca="1" si="5"/>
        <v/>
      </c>
      <c r="D374" s="43"/>
    </row>
    <row r="375" spans="1:4">
      <c r="A375" s="89"/>
      <c r="B375" s="90"/>
      <c r="C375" s="87" t="str">
        <f t="shared" ca="1" si="5"/>
        <v/>
      </c>
      <c r="D375" s="43"/>
    </row>
    <row r="376" spans="1:4">
      <c r="A376" s="89"/>
      <c r="B376" s="90"/>
      <c r="C376" s="87" t="str">
        <f t="shared" ca="1" si="5"/>
        <v/>
      </c>
      <c r="D376" s="43"/>
    </row>
    <row r="377" spans="1:4">
      <c r="A377" s="89"/>
      <c r="B377" s="90"/>
      <c r="C377" s="87" t="str">
        <f t="shared" ca="1" si="5"/>
        <v/>
      </c>
      <c r="D377" s="43"/>
    </row>
    <row r="378" spans="1:4">
      <c r="A378" s="89"/>
      <c r="B378" s="90"/>
      <c r="C378" s="87" t="str">
        <f t="shared" ca="1" si="5"/>
        <v/>
      </c>
      <c r="D378" s="43"/>
    </row>
    <row r="379" spans="1:4">
      <c r="A379" s="89"/>
      <c r="B379" s="90"/>
      <c r="C379" s="87" t="str">
        <f t="shared" ca="1" si="5"/>
        <v/>
      </c>
      <c r="D379" s="43"/>
    </row>
    <row r="380" spans="1:4">
      <c r="A380" s="89"/>
      <c r="B380" s="90"/>
      <c r="C380" s="87" t="str">
        <f t="shared" ca="1" si="5"/>
        <v/>
      </c>
      <c r="D380" s="43"/>
    </row>
    <row r="381" spans="1:4">
      <c r="A381" s="89"/>
      <c r="B381" s="90"/>
      <c r="C381" s="87" t="str">
        <f t="shared" ca="1" si="5"/>
        <v/>
      </c>
      <c r="D381" s="43"/>
    </row>
    <row r="382" spans="1:4">
      <c r="A382" s="89"/>
      <c r="B382" s="90"/>
      <c r="C382" s="87" t="str">
        <f t="shared" ca="1" si="5"/>
        <v/>
      </c>
      <c r="D382" s="43"/>
    </row>
    <row r="383" spans="1:4">
      <c r="A383" s="89"/>
      <c r="B383" s="90"/>
      <c r="C383" s="87" t="str">
        <f t="shared" ca="1" si="5"/>
        <v/>
      </c>
      <c r="D383" s="43"/>
    </row>
    <row r="384" spans="1:4">
      <c r="A384" s="89"/>
      <c r="B384" s="90"/>
      <c r="C384" s="87" t="str">
        <f t="shared" ca="1" si="5"/>
        <v/>
      </c>
      <c r="D384" s="43"/>
    </row>
    <row r="385" spans="1:4">
      <c r="A385" s="89"/>
      <c r="B385" s="90"/>
      <c r="C385" s="87" t="str">
        <f t="shared" ca="1" si="5"/>
        <v/>
      </c>
      <c r="D385" s="43"/>
    </row>
    <row r="386" spans="1:4">
      <c r="A386" s="89"/>
      <c r="B386" s="90"/>
      <c r="C386" s="87" t="str">
        <f t="shared" ca="1" si="5"/>
        <v/>
      </c>
      <c r="D386" s="43"/>
    </row>
    <row r="387" spans="1:4">
      <c r="A387" s="89"/>
      <c r="B387" s="90"/>
      <c r="C387" s="87" t="str">
        <f t="shared" ref="C387:C450" ca="1" si="6">IF(A387&lt;&gt;"", IF(C387="", NOW(), C387), "")</f>
        <v/>
      </c>
      <c r="D387" s="43"/>
    </row>
    <row r="388" spans="1:4">
      <c r="A388" s="89"/>
      <c r="B388" s="90"/>
      <c r="C388" s="87" t="str">
        <f t="shared" ca="1" si="6"/>
        <v/>
      </c>
      <c r="D388" s="43"/>
    </row>
    <row r="389" spans="1:4">
      <c r="A389" s="89"/>
      <c r="B389" s="90"/>
      <c r="C389" s="87" t="str">
        <f t="shared" ca="1" si="6"/>
        <v/>
      </c>
      <c r="D389" s="43"/>
    </row>
    <row r="390" spans="1:4">
      <c r="A390" s="89"/>
      <c r="B390" s="90"/>
      <c r="C390" s="87" t="str">
        <f t="shared" ca="1" si="6"/>
        <v/>
      </c>
      <c r="D390" s="43"/>
    </row>
    <row r="391" spans="1:4">
      <c r="A391" s="89"/>
      <c r="B391" s="90"/>
      <c r="C391" s="87" t="str">
        <f t="shared" ca="1" si="6"/>
        <v/>
      </c>
      <c r="D391" s="43"/>
    </row>
    <row r="392" spans="1:4">
      <c r="A392" s="89"/>
      <c r="B392" s="90"/>
      <c r="C392" s="87" t="str">
        <f t="shared" ca="1" si="6"/>
        <v/>
      </c>
      <c r="D392" s="43"/>
    </row>
    <row r="393" spans="1:4">
      <c r="A393" s="89"/>
      <c r="B393" s="90"/>
      <c r="C393" s="87" t="str">
        <f t="shared" ca="1" si="6"/>
        <v/>
      </c>
      <c r="D393" s="43"/>
    </row>
    <row r="394" spans="1:4">
      <c r="A394" s="89"/>
      <c r="B394" s="90"/>
      <c r="C394" s="87" t="str">
        <f t="shared" ca="1" si="6"/>
        <v/>
      </c>
      <c r="D394" s="43"/>
    </row>
    <row r="395" spans="1:4">
      <c r="A395" s="89"/>
      <c r="B395" s="90"/>
      <c r="C395" s="87" t="str">
        <f t="shared" ca="1" si="6"/>
        <v/>
      </c>
      <c r="D395" s="43"/>
    </row>
    <row r="396" spans="1:4">
      <c r="A396" s="89"/>
      <c r="B396" s="90"/>
      <c r="C396" s="87" t="str">
        <f t="shared" ca="1" si="6"/>
        <v/>
      </c>
      <c r="D396" s="43"/>
    </row>
    <row r="397" spans="1:4">
      <c r="A397" s="89"/>
      <c r="B397" s="90"/>
      <c r="C397" s="87" t="str">
        <f t="shared" ca="1" si="6"/>
        <v/>
      </c>
      <c r="D397" s="43"/>
    </row>
    <row r="398" spans="1:4">
      <c r="A398" s="89"/>
      <c r="B398" s="90"/>
      <c r="C398" s="87" t="str">
        <f t="shared" ca="1" si="6"/>
        <v/>
      </c>
      <c r="D398" s="43"/>
    </row>
    <row r="399" spans="1:4">
      <c r="A399" s="89"/>
      <c r="B399" s="90"/>
      <c r="C399" s="87" t="str">
        <f t="shared" ca="1" si="6"/>
        <v/>
      </c>
      <c r="D399" s="43"/>
    </row>
    <row r="400" spans="1:4">
      <c r="A400" s="89"/>
      <c r="B400" s="90"/>
      <c r="C400" s="87" t="str">
        <f t="shared" ca="1" si="6"/>
        <v/>
      </c>
      <c r="D400" s="43"/>
    </row>
    <row r="401" spans="1:4">
      <c r="A401" s="89"/>
      <c r="B401" s="90"/>
      <c r="C401" s="87" t="str">
        <f t="shared" ca="1" si="6"/>
        <v/>
      </c>
      <c r="D401" s="43"/>
    </row>
    <row r="402" spans="1:4">
      <c r="A402" s="89"/>
      <c r="B402" s="90"/>
      <c r="C402" s="87" t="str">
        <f t="shared" ca="1" si="6"/>
        <v/>
      </c>
      <c r="D402" s="43"/>
    </row>
    <row r="403" spans="1:4">
      <c r="A403" s="89"/>
      <c r="B403" s="90"/>
      <c r="C403" s="87" t="str">
        <f t="shared" ca="1" si="6"/>
        <v/>
      </c>
      <c r="D403" s="43"/>
    </row>
    <row r="404" spans="1:4">
      <c r="A404" s="89"/>
      <c r="B404" s="90"/>
      <c r="C404" s="87" t="str">
        <f t="shared" ca="1" si="6"/>
        <v/>
      </c>
      <c r="D404" s="43"/>
    </row>
    <row r="405" spans="1:4">
      <c r="A405" s="89"/>
      <c r="B405" s="90"/>
      <c r="C405" s="87" t="str">
        <f t="shared" ca="1" si="6"/>
        <v/>
      </c>
      <c r="D405" s="43"/>
    </row>
    <row r="406" spans="1:4">
      <c r="A406" s="89"/>
      <c r="B406" s="90"/>
      <c r="C406" s="87" t="str">
        <f t="shared" ca="1" si="6"/>
        <v/>
      </c>
      <c r="D406" s="43"/>
    </row>
    <row r="407" spans="1:4">
      <c r="A407" s="89"/>
      <c r="B407" s="90"/>
      <c r="C407" s="87" t="str">
        <f t="shared" ca="1" si="6"/>
        <v/>
      </c>
      <c r="D407" s="43"/>
    </row>
    <row r="408" spans="1:4">
      <c r="A408" s="89"/>
      <c r="B408" s="90"/>
      <c r="C408" s="87" t="str">
        <f t="shared" ca="1" si="6"/>
        <v/>
      </c>
      <c r="D408" s="43"/>
    </row>
    <row r="409" spans="1:4">
      <c r="A409" s="89"/>
      <c r="B409" s="90"/>
      <c r="C409" s="87" t="str">
        <f t="shared" ca="1" si="6"/>
        <v/>
      </c>
      <c r="D409" s="43"/>
    </row>
    <row r="410" spans="1:4">
      <c r="A410" s="89"/>
      <c r="B410" s="90"/>
      <c r="C410" s="87" t="str">
        <f t="shared" ca="1" si="6"/>
        <v/>
      </c>
      <c r="D410" s="43"/>
    </row>
    <row r="411" spans="1:4">
      <c r="A411" s="89"/>
      <c r="B411" s="90"/>
      <c r="C411" s="87" t="str">
        <f t="shared" ca="1" si="6"/>
        <v/>
      </c>
      <c r="D411" s="43"/>
    </row>
    <row r="412" spans="1:4">
      <c r="A412" s="89"/>
      <c r="B412" s="90"/>
      <c r="C412" s="87" t="str">
        <f t="shared" ca="1" si="6"/>
        <v/>
      </c>
      <c r="D412" s="43"/>
    </row>
    <row r="413" spans="1:4">
      <c r="A413" s="89"/>
      <c r="B413" s="90"/>
      <c r="C413" s="87" t="str">
        <f t="shared" ca="1" si="6"/>
        <v/>
      </c>
      <c r="D413" s="43"/>
    </row>
    <row r="414" spans="1:4">
      <c r="A414" s="89"/>
      <c r="B414" s="90"/>
      <c r="C414" s="87" t="str">
        <f t="shared" ca="1" si="6"/>
        <v/>
      </c>
      <c r="D414" s="43"/>
    </row>
    <row r="415" spans="1:4">
      <c r="A415" s="89"/>
      <c r="B415" s="90"/>
      <c r="C415" s="87" t="str">
        <f t="shared" ca="1" si="6"/>
        <v/>
      </c>
      <c r="D415" s="43"/>
    </row>
    <row r="416" spans="1:4">
      <c r="A416" s="89"/>
      <c r="B416" s="90"/>
      <c r="C416" s="87" t="str">
        <f t="shared" ca="1" si="6"/>
        <v/>
      </c>
      <c r="D416" s="43"/>
    </row>
    <row r="417" spans="1:4">
      <c r="A417" s="89"/>
      <c r="B417" s="90"/>
      <c r="C417" s="87" t="str">
        <f t="shared" ca="1" si="6"/>
        <v/>
      </c>
      <c r="D417" s="43"/>
    </row>
    <row r="418" spans="1:4">
      <c r="A418" s="89"/>
      <c r="B418" s="90"/>
      <c r="C418" s="87" t="str">
        <f t="shared" ca="1" si="6"/>
        <v/>
      </c>
      <c r="D418" s="43"/>
    </row>
    <row r="419" spans="1:4">
      <c r="A419" s="89"/>
      <c r="B419" s="90"/>
      <c r="C419" s="87" t="str">
        <f t="shared" ca="1" si="6"/>
        <v/>
      </c>
      <c r="D419" s="43"/>
    </row>
    <row r="420" spans="1:4">
      <c r="A420" s="89"/>
      <c r="B420" s="90"/>
      <c r="C420" s="87" t="str">
        <f t="shared" ca="1" si="6"/>
        <v/>
      </c>
      <c r="D420" s="43"/>
    </row>
    <row r="421" spans="1:4">
      <c r="A421" s="89"/>
      <c r="B421" s="90"/>
      <c r="C421" s="87" t="str">
        <f t="shared" ca="1" si="6"/>
        <v/>
      </c>
      <c r="D421" s="43"/>
    </row>
    <row r="422" spans="1:4">
      <c r="A422" s="89"/>
      <c r="B422" s="90"/>
      <c r="C422" s="87" t="str">
        <f t="shared" ca="1" si="6"/>
        <v/>
      </c>
      <c r="D422" s="43"/>
    </row>
    <row r="423" spans="1:4">
      <c r="A423" s="89"/>
      <c r="B423" s="90"/>
      <c r="C423" s="87" t="str">
        <f t="shared" ca="1" si="6"/>
        <v/>
      </c>
      <c r="D423" s="43"/>
    </row>
    <row r="424" spans="1:4">
      <c r="A424" s="89"/>
      <c r="B424" s="90"/>
      <c r="C424" s="87" t="str">
        <f t="shared" ca="1" si="6"/>
        <v/>
      </c>
      <c r="D424" s="43"/>
    </row>
    <row r="425" spans="1:4">
      <c r="A425" s="89"/>
      <c r="B425" s="90"/>
      <c r="C425" s="87" t="str">
        <f t="shared" ca="1" si="6"/>
        <v/>
      </c>
      <c r="D425" s="43"/>
    </row>
    <row r="426" spans="1:4">
      <c r="A426" s="89"/>
      <c r="B426" s="90"/>
      <c r="C426" s="87" t="str">
        <f t="shared" ca="1" si="6"/>
        <v/>
      </c>
      <c r="D426" s="43"/>
    </row>
    <row r="427" spans="1:4">
      <c r="A427" s="89"/>
      <c r="B427" s="90"/>
      <c r="C427" s="87" t="str">
        <f t="shared" ca="1" si="6"/>
        <v/>
      </c>
      <c r="D427" s="43"/>
    </row>
    <row r="428" spans="1:4">
      <c r="A428" s="89"/>
      <c r="B428" s="90"/>
      <c r="C428" s="87" t="str">
        <f t="shared" ca="1" si="6"/>
        <v/>
      </c>
      <c r="D428" s="43"/>
    </row>
    <row r="429" spans="1:4">
      <c r="A429" s="89"/>
      <c r="B429" s="90"/>
      <c r="C429" s="87" t="str">
        <f t="shared" ca="1" si="6"/>
        <v/>
      </c>
      <c r="D429" s="43"/>
    </row>
    <row r="430" spans="1:4">
      <c r="A430" s="89"/>
      <c r="B430" s="90"/>
      <c r="C430" s="87" t="str">
        <f t="shared" ca="1" si="6"/>
        <v/>
      </c>
      <c r="D430" s="43"/>
    </row>
    <row r="431" spans="1:4">
      <c r="A431" s="89"/>
      <c r="B431" s="90"/>
      <c r="C431" s="87" t="str">
        <f t="shared" ca="1" si="6"/>
        <v/>
      </c>
      <c r="D431" s="43"/>
    </row>
    <row r="432" spans="1:4">
      <c r="A432" s="89"/>
      <c r="B432" s="90"/>
      <c r="C432" s="87" t="str">
        <f t="shared" ca="1" si="6"/>
        <v/>
      </c>
      <c r="D432" s="43"/>
    </row>
    <row r="433" spans="1:4">
      <c r="A433" s="89"/>
      <c r="B433" s="90"/>
      <c r="C433" s="87" t="str">
        <f t="shared" ca="1" si="6"/>
        <v/>
      </c>
      <c r="D433" s="43"/>
    </row>
    <row r="434" spans="1:4">
      <c r="A434" s="89"/>
      <c r="B434" s="90"/>
      <c r="C434" s="87" t="str">
        <f t="shared" ca="1" si="6"/>
        <v/>
      </c>
      <c r="D434" s="43"/>
    </row>
    <row r="435" spans="1:4">
      <c r="A435" s="89"/>
      <c r="B435" s="90"/>
      <c r="C435" s="87" t="str">
        <f t="shared" ca="1" si="6"/>
        <v/>
      </c>
      <c r="D435" s="43"/>
    </row>
    <row r="436" spans="1:4">
      <c r="A436" s="89"/>
      <c r="B436" s="90"/>
      <c r="C436" s="87" t="str">
        <f t="shared" ca="1" si="6"/>
        <v/>
      </c>
      <c r="D436" s="43"/>
    </row>
    <row r="437" spans="1:4">
      <c r="A437" s="89"/>
      <c r="B437" s="90"/>
      <c r="C437" s="87" t="str">
        <f t="shared" ca="1" si="6"/>
        <v/>
      </c>
      <c r="D437" s="43"/>
    </row>
    <row r="438" spans="1:4">
      <c r="A438" s="89"/>
      <c r="B438" s="90"/>
      <c r="C438" s="87" t="str">
        <f t="shared" ca="1" si="6"/>
        <v/>
      </c>
      <c r="D438" s="43"/>
    </row>
    <row r="439" spans="1:4">
      <c r="A439" s="89"/>
      <c r="B439" s="90"/>
      <c r="C439" s="87" t="str">
        <f t="shared" ca="1" si="6"/>
        <v/>
      </c>
      <c r="D439" s="43"/>
    </row>
    <row r="440" spans="1:4">
      <c r="A440" s="89"/>
      <c r="B440" s="90"/>
      <c r="C440" s="87" t="str">
        <f t="shared" ca="1" si="6"/>
        <v/>
      </c>
      <c r="D440" s="43"/>
    </row>
    <row r="441" spans="1:4">
      <c r="A441" s="89"/>
      <c r="B441" s="90"/>
      <c r="C441" s="87" t="str">
        <f t="shared" ca="1" si="6"/>
        <v/>
      </c>
      <c r="D441" s="43"/>
    </row>
    <row r="442" spans="1:4">
      <c r="A442" s="89"/>
      <c r="B442" s="90"/>
      <c r="C442" s="87" t="str">
        <f t="shared" ca="1" si="6"/>
        <v/>
      </c>
      <c r="D442" s="43"/>
    </row>
    <row r="443" spans="1:4">
      <c r="A443" s="89"/>
      <c r="B443" s="90"/>
      <c r="C443" s="87" t="str">
        <f t="shared" ca="1" si="6"/>
        <v/>
      </c>
      <c r="D443" s="43"/>
    </row>
    <row r="444" spans="1:4">
      <c r="A444" s="89"/>
      <c r="B444" s="90"/>
      <c r="C444" s="87" t="str">
        <f t="shared" ca="1" si="6"/>
        <v/>
      </c>
      <c r="D444" s="43"/>
    </row>
    <row r="445" spans="1:4">
      <c r="A445" s="89"/>
      <c r="B445" s="90"/>
      <c r="C445" s="87" t="str">
        <f t="shared" ca="1" si="6"/>
        <v/>
      </c>
      <c r="D445" s="43"/>
    </row>
    <row r="446" spans="1:4">
      <c r="A446" s="89"/>
      <c r="B446" s="90"/>
      <c r="C446" s="87" t="str">
        <f t="shared" ca="1" si="6"/>
        <v/>
      </c>
      <c r="D446" s="43"/>
    </row>
    <row r="447" spans="1:4">
      <c r="A447" s="89"/>
      <c r="B447" s="90"/>
      <c r="C447" s="87" t="str">
        <f t="shared" ca="1" si="6"/>
        <v/>
      </c>
      <c r="D447" s="43"/>
    </row>
    <row r="448" spans="1:4">
      <c r="A448" s="89"/>
      <c r="B448" s="90"/>
      <c r="C448" s="87" t="str">
        <f t="shared" ca="1" si="6"/>
        <v/>
      </c>
      <c r="D448" s="43"/>
    </row>
    <row r="449" spans="1:4">
      <c r="A449" s="89"/>
      <c r="B449" s="90"/>
      <c r="C449" s="87" t="str">
        <f t="shared" ca="1" si="6"/>
        <v/>
      </c>
      <c r="D449" s="43"/>
    </row>
    <row r="450" spans="1:4">
      <c r="A450" s="89"/>
      <c r="B450" s="90"/>
      <c r="C450" s="87" t="str">
        <f t="shared" ca="1" si="6"/>
        <v/>
      </c>
      <c r="D450" s="43"/>
    </row>
    <row r="451" spans="1:4">
      <c r="A451" s="89"/>
      <c r="B451" s="90"/>
      <c r="C451" s="87" t="str">
        <f t="shared" ref="C451:C500" ca="1" si="7">IF(A451&lt;&gt;"", IF(C451="", NOW(), C451), "")</f>
        <v/>
      </c>
      <c r="D451" s="43"/>
    </row>
    <row r="452" spans="1:4">
      <c r="A452" s="89"/>
      <c r="B452" s="90"/>
      <c r="C452" s="87" t="str">
        <f t="shared" ca="1" si="7"/>
        <v/>
      </c>
      <c r="D452" s="43"/>
    </row>
    <row r="453" spans="1:4">
      <c r="A453" s="89"/>
      <c r="B453" s="90"/>
      <c r="C453" s="87" t="str">
        <f t="shared" ca="1" si="7"/>
        <v/>
      </c>
      <c r="D453" s="43"/>
    </row>
    <row r="454" spans="1:4">
      <c r="A454" s="89"/>
      <c r="B454" s="90"/>
      <c r="C454" s="87" t="str">
        <f t="shared" ca="1" si="7"/>
        <v/>
      </c>
      <c r="D454" s="43"/>
    </row>
    <row r="455" spans="1:4">
      <c r="A455" s="89"/>
      <c r="B455" s="90"/>
      <c r="C455" s="87" t="str">
        <f t="shared" ca="1" si="7"/>
        <v/>
      </c>
      <c r="D455" s="43"/>
    </row>
    <row r="456" spans="1:4">
      <c r="A456" s="89"/>
      <c r="B456" s="90"/>
      <c r="C456" s="87" t="str">
        <f t="shared" ca="1" si="7"/>
        <v/>
      </c>
      <c r="D456" s="43"/>
    </row>
    <row r="457" spans="1:4">
      <c r="A457" s="89"/>
      <c r="B457" s="90"/>
      <c r="C457" s="87" t="str">
        <f t="shared" ca="1" si="7"/>
        <v/>
      </c>
      <c r="D457" s="43"/>
    </row>
    <row r="458" spans="1:4">
      <c r="A458" s="89"/>
      <c r="B458" s="90"/>
      <c r="C458" s="87" t="str">
        <f t="shared" ca="1" si="7"/>
        <v/>
      </c>
      <c r="D458" s="43"/>
    </row>
    <row r="459" spans="1:4">
      <c r="A459" s="89"/>
      <c r="B459" s="90"/>
      <c r="C459" s="87" t="str">
        <f t="shared" ca="1" si="7"/>
        <v/>
      </c>
      <c r="D459" s="43"/>
    </row>
    <row r="460" spans="1:4">
      <c r="A460" s="89"/>
      <c r="B460" s="90"/>
      <c r="C460" s="87" t="str">
        <f t="shared" ca="1" si="7"/>
        <v/>
      </c>
      <c r="D460" s="43"/>
    </row>
    <row r="461" spans="1:4">
      <c r="A461" s="89"/>
      <c r="B461" s="90"/>
      <c r="C461" s="87" t="str">
        <f t="shared" ca="1" si="7"/>
        <v/>
      </c>
      <c r="D461" s="43"/>
    </row>
    <row r="462" spans="1:4">
      <c r="A462" s="89"/>
      <c r="B462" s="90"/>
      <c r="C462" s="87" t="str">
        <f t="shared" ca="1" si="7"/>
        <v/>
      </c>
      <c r="D462" s="43"/>
    </row>
    <row r="463" spans="1:4">
      <c r="A463" s="89"/>
      <c r="B463" s="90"/>
      <c r="C463" s="87" t="str">
        <f t="shared" ca="1" si="7"/>
        <v/>
      </c>
      <c r="D463" s="43"/>
    </row>
    <row r="464" spans="1:4">
      <c r="A464" s="89"/>
      <c r="B464" s="90"/>
      <c r="C464" s="87" t="str">
        <f t="shared" ca="1" si="7"/>
        <v/>
      </c>
      <c r="D464" s="43"/>
    </row>
    <row r="465" spans="1:4">
      <c r="A465" s="89"/>
      <c r="B465" s="90"/>
      <c r="C465" s="87" t="str">
        <f t="shared" ca="1" si="7"/>
        <v/>
      </c>
      <c r="D465" s="43"/>
    </row>
    <row r="466" spans="1:4">
      <c r="A466" s="89"/>
      <c r="B466" s="90"/>
      <c r="C466" s="87" t="str">
        <f t="shared" ca="1" si="7"/>
        <v/>
      </c>
      <c r="D466" s="43"/>
    </row>
    <row r="467" spans="1:4">
      <c r="A467" s="89"/>
      <c r="B467" s="90"/>
      <c r="C467" s="87" t="str">
        <f t="shared" ca="1" si="7"/>
        <v/>
      </c>
      <c r="D467" s="43"/>
    </row>
    <row r="468" spans="1:4">
      <c r="A468" s="89"/>
      <c r="B468" s="90"/>
      <c r="C468" s="87" t="str">
        <f t="shared" ca="1" si="7"/>
        <v/>
      </c>
      <c r="D468" s="43"/>
    </row>
    <row r="469" spans="1:4">
      <c r="A469" s="89"/>
      <c r="B469" s="90"/>
      <c r="C469" s="87" t="str">
        <f t="shared" ca="1" si="7"/>
        <v/>
      </c>
      <c r="D469" s="43"/>
    </row>
    <row r="470" spans="1:4">
      <c r="A470" s="89"/>
      <c r="B470" s="90"/>
      <c r="C470" s="87" t="str">
        <f t="shared" ca="1" si="7"/>
        <v/>
      </c>
      <c r="D470" s="43"/>
    </row>
    <row r="471" spans="1:4">
      <c r="A471" s="89"/>
      <c r="B471" s="90"/>
      <c r="C471" s="87" t="str">
        <f t="shared" ca="1" si="7"/>
        <v/>
      </c>
      <c r="D471" s="43"/>
    </row>
    <row r="472" spans="1:4">
      <c r="A472" s="89"/>
      <c r="B472" s="90"/>
      <c r="C472" s="87" t="str">
        <f t="shared" ca="1" si="7"/>
        <v/>
      </c>
      <c r="D472" s="43"/>
    </row>
    <row r="473" spans="1:4">
      <c r="A473" s="89"/>
      <c r="B473" s="90"/>
      <c r="C473" s="87" t="str">
        <f t="shared" ca="1" si="7"/>
        <v/>
      </c>
      <c r="D473" s="43"/>
    </row>
    <row r="474" spans="1:4">
      <c r="A474" s="89"/>
      <c r="B474" s="90"/>
      <c r="C474" s="87" t="str">
        <f t="shared" ca="1" si="7"/>
        <v/>
      </c>
      <c r="D474" s="43"/>
    </row>
    <row r="475" spans="1:4">
      <c r="A475" s="89"/>
      <c r="B475" s="90"/>
      <c r="C475" s="87" t="str">
        <f t="shared" ca="1" si="7"/>
        <v/>
      </c>
      <c r="D475" s="43"/>
    </row>
    <row r="476" spans="1:4">
      <c r="A476" s="89"/>
      <c r="B476" s="90"/>
      <c r="C476" s="87" t="str">
        <f t="shared" ca="1" si="7"/>
        <v/>
      </c>
      <c r="D476" s="43"/>
    </row>
    <row r="477" spans="1:4">
      <c r="A477" s="89"/>
      <c r="B477" s="90"/>
      <c r="C477" s="87" t="str">
        <f t="shared" ca="1" si="7"/>
        <v/>
      </c>
      <c r="D477" s="43"/>
    </row>
    <row r="478" spans="1:4">
      <c r="A478" s="89"/>
      <c r="B478" s="90"/>
      <c r="C478" s="87" t="str">
        <f t="shared" ca="1" si="7"/>
        <v/>
      </c>
      <c r="D478" s="43"/>
    </row>
    <row r="479" spans="1:4">
      <c r="A479" s="89"/>
      <c r="B479" s="90"/>
      <c r="C479" s="87" t="str">
        <f t="shared" ca="1" si="7"/>
        <v/>
      </c>
      <c r="D479" s="43"/>
    </row>
    <row r="480" spans="1:4">
      <c r="A480" s="89"/>
      <c r="B480" s="90"/>
      <c r="C480" s="87" t="str">
        <f t="shared" ca="1" si="7"/>
        <v/>
      </c>
      <c r="D480" s="43"/>
    </row>
    <row r="481" spans="1:4">
      <c r="A481" s="89"/>
      <c r="B481" s="90"/>
      <c r="C481" s="87" t="str">
        <f t="shared" ca="1" si="7"/>
        <v/>
      </c>
      <c r="D481" s="43"/>
    </row>
    <row r="482" spans="1:4">
      <c r="A482" s="89"/>
      <c r="B482" s="90"/>
      <c r="C482" s="87" t="str">
        <f t="shared" ca="1" si="7"/>
        <v/>
      </c>
      <c r="D482" s="43"/>
    </row>
    <row r="483" spans="1:4">
      <c r="A483" s="89"/>
      <c r="B483" s="90"/>
      <c r="C483" s="87" t="str">
        <f t="shared" ca="1" si="7"/>
        <v/>
      </c>
      <c r="D483" s="43"/>
    </row>
    <row r="484" spans="1:4">
      <c r="A484" s="89"/>
      <c r="B484" s="90"/>
      <c r="C484" s="87" t="str">
        <f t="shared" ca="1" si="7"/>
        <v/>
      </c>
      <c r="D484" s="43"/>
    </row>
    <row r="485" spans="1:4">
      <c r="A485" s="89"/>
      <c r="B485" s="90"/>
      <c r="C485" s="87" t="str">
        <f t="shared" ca="1" si="7"/>
        <v/>
      </c>
      <c r="D485" s="43"/>
    </row>
    <row r="486" spans="1:4">
      <c r="A486" s="89"/>
      <c r="B486" s="90"/>
      <c r="C486" s="87" t="str">
        <f t="shared" ca="1" si="7"/>
        <v/>
      </c>
      <c r="D486" s="43"/>
    </row>
    <row r="487" spans="1:4">
      <c r="A487" s="89"/>
      <c r="B487" s="90"/>
      <c r="C487" s="87" t="str">
        <f t="shared" ca="1" si="7"/>
        <v/>
      </c>
      <c r="D487" s="43"/>
    </row>
    <row r="488" spans="1:4">
      <c r="A488" s="89"/>
      <c r="B488" s="90"/>
      <c r="C488" s="87" t="str">
        <f t="shared" ca="1" si="7"/>
        <v/>
      </c>
      <c r="D488" s="43"/>
    </row>
    <row r="489" spans="1:4">
      <c r="A489" s="89"/>
      <c r="B489" s="90"/>
      <c r="C489" s="87" t="str">
        <f t="shared" ca="1" si="7"/>
        <v/>
      </c>
      <c r="D489" s="43"/>
    </row>
    <row r="490" spans="1:4">
      <c r="A490" s="89"/>
      <c r="B490" s="90"/>
      <c r="C490" s="87" t="str">
        <f t="shared" ca="1" si="7"/>
        <v/>
      </c>
      <c r="D490" s="43"/>
    </row>
    <row r="491" spans="1:4">
      <c r="A491" s="89"/>
      <c r="B491" s="90"/>
      <c r="C491" s="87" t="str">
        <f t="shared" ca="1" si="7"/>
        <v/>
      </c>
      <c r="D491" s="43"/>
    </row>
    <row r="492" spans="1:4">
      <c r="A492" s="89"/>
      <c r="B492" s="90"/>
      <c r="C492" s="87" t="str">
        <f t="shared" ca="1" si="7"/>
        <v/>
      </c>
      <c r="D492" s="43"/>
    </row>
    <row r="493" spans="1:4">
      <c r="A493" s="89"/>
      <c r="B493" s="90"/>
      <c r="C493" s="87" t="str">
        <f t="shared" ca="1" si="7"/>
        <v/>
      </c>
      <c r="D493" s="43"/>
    </row>
    <row r="494" spans="1:4">
      <c r="A494" s="89"/>
      <c r="B494" s="90"/>
      <c r="C494" s="87" t="str">
        <f t="shared" ca="1" si="7"/>
        <v/>
      </c>
      <c r="D494" s="43"/>
    </row>
    <row r="495" spans="1:4">
      <c r="A495" s="89"/>
      <c r="B495" s="90"/>
      <c r="C495" s="87" t="str">
        <f t="shared" ca="1" si="7"/>
        <v/>
      </c>
      <c r="D495" s="43"/>
    </row>
    <row r="496" spans="1:4">
      <c r="A496" s="89"/>
      <c r="B496" s="90"/>
      <c r="C496" s="87" t="str">
        <f t="shared" ca="1" si="7"/>
        <v/>
      </c>
      <c r="D496" s="43"/>
    </row>
    <row r="497" spans="1:4">
      <c r="A497" s="89"/>
      <c r="B497" s="90"/>
      <c r="C497" s="87" t="str">
        <f t="shared" ca="1" si="7"/>
        <v/>
      </c>
      <c r="D497" s="43"/>
    </row>
    <row r="498" spans="1:4">
      <c r="A498" s="89"/>
      <c r="B498" s="90"/>
      <c r="C498" s="87" t="str">
        <f t="shared" ca="1" si="7"/>
        <v/>
      </c>
      <c r="D498" s="43"/>
    </row>
    <row r="499" spans="1:4">
      <c r="A499" s="89"/>
      <c r="B499" s="90"/>
      <c r="C499" s="87" t="str">
        <f t="shared" ca="1" si="7"/>
        <v/>
      </c>
      <c r="D499" s="43"/>
    </row>
    <row r="500" spans="1:4" ht="15.75" thickBot="1">
      <c r="A500" s="91"/>
      <c r="B500" s="92"/>
      <c r="C500" s="87" t="str">
        <f t="shared" ca="1" si="7"/>
        <v/>
      </c>
      <c r="D500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76" customWidth="1"/>
    <col min="2" max="2" width="11.28515625" style="72" customWidth="1"/>
    <col min="3" max="3" width="16.140625" style="77" bestFit="1" customWidth="1"/>
    <col min="4" max="4" width="21.5703125" style="60" bestFit="1" customWidth="1"/>
    <col min="5" max="5" width="10.42578125" style="60" hidden="1" customWidth="1"/>
    <col min="6" max="6" width="0" style="60" hidden="1" customWidth="1"/>
    <col min="7" max="7" width="4.28515625" style="60" hidden="1" customWidth="1"/>
    <col min="8" max="8" width="11.42578125" style="60" customWidth="1"/>
    <col min="9" max="9" width="41.28515625" style="60" customWidth="1"/>
    <col min="10" max="10" width="63.140625" style="60" customWidth="1"/>
    <col min="11" max="11" width="36.5703125" style="60" customWidth="1"/>
    <col min="12" max="12" width="28" style="60" customWidth="1"/>
    <col min="13" max="13" width="21.5703125" style="60" customWidth="1"/>
    <col min="14" max="14" width="10.42578125" style="60" bestFit="1" customWidth="1"/>
    <col min="15" max="16384" width="9.140625" style="60"/>
  </cols>
  <sheetData>
    <row r="1" spans="1:41" ht="31.5">
      <c r="A1" s="93" t="s">
        <v>46</v>
      </c>
      <c r="B1" s="94" t="s">
        <v>66</v>
      </c>
      <c r="C1" s="95" t="s">
        <v>67</v>
      </c>
      <c r="D1" s="78"/>
      <c r="E1" s="79"/>
      <c r="F1" s="79"/>
      <c r="G1" s="80"/>
      <c r="H1" s="81"/>
      <c r="I1" s="82"/>
      <c r="J1" s="83"/>
      <c r="K1" s="83"/>
      <c r="L1" s="83"/>
      <c r="M1" s="83"/>
      <c r="N1" s="83"/>
    </row>
    <row r="2" spans="1:41" s="63" customFormat="1" ht="23.25">
      <c r="A2" s="73"/>
      <c r="B2" s="15"/>
      <c r="C2" s="74" t="str">
        <f ca="1">IF(B2&lt;&gt;"", IF(C2="", NOW(), C2), "")</f>
        <v/>
      </c>
      <c r="D2" s="50"/>
      <c r="E2" s="51"/>
      <c r="F2" s="52"/>
      <c r="G2" s="52"/>
      <c r="H2" s="53"/>
      <c r="I2" s="53"/>
      <c r="J2" s="61"/>
      <c r="K2" s="62"/>
      <c r="M2" s="57"/>
      <c r="N2" s="57"/>
      <c r="O2" s="57"/>
      <c r="P2" s="5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8"/>
      <c r="AG2" s="68"/>
      <c r="AH2" s="68"/>
      <c r="AI2" s="68"/>
      <c r="AJ2" s="68"/>
      <c r="AK2" s="68"/>
      <c r="AL2" s="68"/>
      <c r="AM2" s="68"/>
      <c r="AN2" s="68"/>
      <c r="AO2" s="68"/>
    </row>
    <row r="3" spans="1:41" s="65" customFormat="1" ht="41.25" customHeight="1">
      <c r="A3" s="73"/>
      <c r="B3" s="15"/>
      <c r="C3" s="74" t="str">
        <f t="shared" ref="C3:C66" ca="1" si="0">IF(B3&lt;&gt;"", IF(C3="", NOW(), C3), "")</f>
        <v/>
      </c>
      <c r="D3" s="50"/>
      <c r="E3" s="55"/>
      <c r="F3" s="52"/>
      <c r="G3" s="52"/>
      <c r="H3" s="53"/>
      <c r="I3" s="56"/>
      <c r="J3" s="62"/>
      <c r="K3" s="57"/>
      <c r="L3" s="57"/>
      <c r="M3" s="57"/>
      <c r="N3" s="57"/>
    </row>
    <row r="4" spans="1:41" s="59" customFormat="1" ht="46.5" customHeight="1">
      <c r="A4" s="73"/>
      <c r="B4" s="15"/>
      <c r="C4" s="74" t="str">
        <f t="shared" ca="1" si="0"/>
        <v/>
      </c>
      <c r="D4" s="55"/>
      <c r="E4" s="50"/>
      <c r="F4" s="55"/>
      <c r="G4" s="52"/>
      <c r="H4" s="53"/>
      <c r="I4" s="53"/>
      <c r="J4" s="62"/>
      <c r="K4" s="57"/>
      <c r="L4" s="57"/>
      <c r="M4" s="57"/>
      <c r="N4" s="57"/>
      <c r="O4" s="57"/>
    </row>
    <row r="5" spans="1:41" s="59" customFormat="1" ht="22.5" customHeight="1">
      <c r="A5" s="73"/>
      <c r="B5" s="21"/>
      <c r="C5" s="74" t="str">
        <f t="shared" ca="1" si="0"/>
        <v/>
      </c>
      <c r="D5" s="66"/>
      <c r="E5" s="50"/>
      <c r="F5" s="58"/>
      <c r="G5" s="52"/>
      <c r="H5" s="53"/>
      <c r="J5" s="57"/>
      <c r="K5" s="56"/>
      <c r="M5" s="57"/>
      <c r="N5" s="57"/>
      <c r="O5" s="57"/>
    </row>
    <row r="6" spans="1:41" s="59" customFormat="1" ht="41.25" customHeight="1">
      <c r="A6" s="73"/>
      <c r="B6" s="21"/>
      <c r="C6" s="74" t="str">
        <f t="shared" ca="1" si="0"/>
        <v/>
      </c>
      <c r="D6" s="55"/>
      <c r="E6" s="49"/>
      <c r="F6" s="50"/>
      <c r="G6" s="58"/>
      <c r="H6" s="53"/>
      <c r="I6" s="52"/>
      <c r="J6" s="62"/>
      <c r="K6" s="62"/>
      <c r="L6" s="56"/>
      <c r="O6" s="57"/>
    </row>
    <row r="7" spans="1:41" s="59" customFormat="1" ht="11.25">
      <c r="A7" s="73"/>
      <c r="B7" s="21"/>
      <c r="C7" s="74" t="str">
        <f t="shared" ca="1" si="0"/>
        <v/>
      </c>
      <c r="D7" s="55"/>
      <c r="E7" s="50"/>
      <c r="F7" s="55"/>
      <c r="G7" s="52"/>
      <c r="H7" s="53"/>
      <c r="I7" s="53"/>
      <c r="J7" s="57"/>
      <c r="K7" s="57"/>
      <c r="L7" s="57"/>
      <c r="M7" s="57"/>
      <c r="N7" s="57"/>
      <c r="O7" s="57"/>
    </row>
    <row r="8" spans="1:41" s="59" customFormat="1" ht="11.25">
      <c r="A8" s="73"/>
      <c r="B8" s="21"/>
      <c r="C8" s="74" t="str">
        <f t="shared" ca="1" si="0"/>
        <v/>
      </c>
      <c r="D8" s="55"/>
      <c r="E8" s="50"/>
      <c r="F8" s="55"/>
      <c r="G8" s="52"/>
      <c r="H8" s="53"/>
      <c r="I8" s="53"/>
      <c r="J8" s="57"/>
      <c r="K8" s="57"/>
      <c r="L8" s="57"/>
      <c r="M8" s="57"/>
      <c r="N8" s="57"/>
      <c r="O8" s="57"/>
    </row>
    <row r="9" spans="1:41" s="59" customFormat="1" ht="11.25">
      <c r="A9" s="73"/>
      <c r="B9" s="16"/>
      <c r="C9" s="74" t="str">
        <f t="shared" ca="1" si="0"/>
        <v/>
      </c>
      <c r="D9" s="50"/>
      <c r="E9" s="50"/>
      <c r="F9" s="55"/>
      <c r="G9" s="52"/>
      <c r="H9" s="52"/>
      <c r="I9" s="53"/>
      <c r="J9" s="56"/>
      <c r="K9" s="57"/>
      <c r="L9" s="57"/>
      <c r="M9" s="57"/>
      <c r="N9" s="57"/>
      <c r="O9" s="5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</row>
    <row r="10" spans="1:41" s="65" customFormat="1" ht="11.25">
      <c r="A10" s="73"/>
      <c r="B10" s="15"/>
      <c r="C10" s="74" t="str">
        <f t="shared" ca="1" si="0"/>
        <v/>
      </c>
      <c r="D10" s="55"/>
      <c r="E10" s="50"/>
      <c r="F10" s="55"/>
      <c r="G10" s="52"/>
      <c r="H10" s="52"/>
      <c r="I10" s="53"/>
      <c r="J10" s="56"/>
      <c r="K10" s="57"/>
      <c r="L10" s="57"/>
      <c r="M10" s="57"/>
      <c r="N10" s="57"/>
      <c r="O10" s="57"/>
    </row>
    <row r="11" spans="1:41" s="59" customFormat="1" ht="41.25" customHeight="1">
      <c r="A11" s="73"/>
      <c r="B11" s="16"/>
      <c r="C11" s="74" t="str">
        <f t="shared" ca="1" si="0"/>
        <v/>
      </c>
      <c r="D11" s="50"/>
      <c r="E11" s="50"/>
      <c r="F11" s="55"/>
      <c r="G11" s="52"/>
      <c r="H11" s="52"/>
      <c r="I11" s="53"/>
      <c r="J11" s="57"/>
      <c r="K11" s="57"/>
      <c r="L11" s="57"/>
      <c r="M11" s="57"/>
      <c r="N11" s="57"/>
      <c r="O11" s="57"/>
    </row>
    <row r="12" spans="1:41" s="63" customFormat="1" ht="41.25" customHeight="1">
      <c r="A12" s="73"/>
      <c r="B12" s="16"/>
      <c r="C12" s="74" t="str">
        <f t="shared" ca="1" si="0"/>
        <v/>
      </c>
      <c r="D12" s="50"/>
      <c r="E12" s="50"/>
      <c r="F12" s="58"/>
      <c r="G12" s="52"/>
      <c r="H12" s="52"/>
      <c r="I12" s="53"/>
      <c r="J12" s="57"/>
      <c r="K12" s="57"/>
      <c r="L12" s="57"/>
      <c r="M12" s="57"/>
      <c r="N12" s="57"/>
      <c r="O12" s="57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</row>
    <row r="13" spans="1:41" s="63" customFormat="1" ht="41.25" customHeight="1">
      <c r="A13" s="73"/>
      <c r="B13" s="16"/>
      <c r="C13" s="74" t="str">
        <f t="shared" ca="1" si="0"/>
        <v/>
      </c>
      <c r="D13" s="50"/>
      <c r="E13" s="50"/>
      <c r="F13" s="58"/>
      <c r="G13" s="52"/>
      <c r="H13" s="52"/>
      <c r="I13" s="53"/>
      <c r="J13" s="57"/>
      <c r="K13" s="57"/>
      <c r="L13" s="57"/>
      <c r="M13" s="57"/>
      <c r="N13" s="57"/>
      <c r="O13" s="57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</row>
    <row r="14" spans="1:41" s="63" customFormat="1" ht="23.25">
      <c r="A14" s="73"/>
      <c r="B14" s="16"/>
      <c r="C14" s="74" t="str">
        <f t="shared" ca="1" si="0"/>
        <v/>
      </c>
      <c r="D14" s="50"/>
      <c r="E14" s="50"/>
      <c r="F14" s="58"/>
      <c r="G14" s="52"/>
      <c r="H14" s="52"/>
      <c r="I14" s="53"/>
      <c r="J14" s="56"/>
      <c r="K14" s="57"/>
      <c r="L14" s="57"/>
      <c r="M14" s="57"/>
      <c r="N14" s="57"/>
      <c r="O14" s="57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</row>
    <row r="15" spans="1:41" ht="23.25">
      <c r="A15" s="73"/>
      <c r="B15" s="16"/>
      <c r="C15" s="74" t="str">
        <f t="shared" ca="1" si="0"/>
        <v/>
      </c>
      <c r="D15" s="50"/>
      <c r="E15" s="50"/>
      <c r="F15" s="58"/>
      <c r="G15" s="52"/>
      <c r="H15" s="52"/>
      <c r="I15" s="53"/>
      <c r="J15" s="56"/>
      <c r="K15" s="57"/>
      <c r="L15" s="57"/>
      <c r="M15" s="57"/>
      <c r="N15" s="57"/>
      <c r="O15" s="57"/>
    </row>
    <row r="16" spans="1:41" s="63" customFormat="1" ht="23.25">
      <c r="A16" s="73"/>
      <c r="B16" s="16"/>
      <c r="C16" s="74" t="str">
        <f t="shared" ca="1" si="0"/>
        <v/>
      </c>
      <c r="D16" s="50"/>
      <c r="E16" s="50"/>
      <c r="F16" s="58"/>
      <c r="G16" s="52"/>
      <c r="H16" s="52"/>
      <c r="I16" s="53"/>
      <c r="J16" s="56"/>
      <c r="K16" s="57"/>
      <c r="L16" s="57"/>
      <c r="M16" s="57"/>
      <c r="N16" s="57"/>
      <c r="O16" s="57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</row>
    <row r="17" spans="1:41" s="63" customFormat="1" ht="14.25">
      <c r="A17" s="75"/>
      <c r="B17" s="26"/>
      <c r="C17" s="74" t="str">
        <f t="shared" ca="1" si="0"/>
        <v/>
      </c>
      <c r="D17" s="70"/>
      <c r="E17" s="69"/>
      <c r="F17" s="69"/>
      <c r="G17" s="69"/>
      <c r="H17" s="69"/>
      <c r="I17" s="53"/>
      <c r="J17" s="56"/>
      <c r="K17" s="57"/>
      <c r="L17" s="57"/>
      <c r="M17" s="57"/>
      <c r="N17" s="57"/>
      <c r="O17" s="57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</row>
    <row r="18" spans="1:41" s="63" customFormat="1" ht="14.25">
      <c r="A18" s="75"/>
      <c r="B18" s="26"/>
      <c r="C18" s="74" t="str">
        <f t="shared" ca="1" si="0"/>
        <v/>
      </c>
      <c r="D18" s="70"/>
      <c r="E18" s="69"/>
      <c r="F18" s="69"/>
      <c r="G18" s="69"/>
      <c r="H18" s="69"/>
      <c r="I18" s="53"/>
      <c r="J18" s="56"/>
      <c r="K18" s="57"/>
      <c r="L18" s="57"/>
      <c r="M18" s="57"/>
      <c r="N18" s="57"/>
      <c r="O18" s="57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</row>
    <row r="19" spans="1:41" s="63" customFormat="1" ht="14.25">
      <c r="A19" s="75"/>
      <c r="B19" s="26"/>
      <c r="C19" s="74" t="str">
        <f t="shared" ca="1" si="0"/>
        <v/>
      </c>
      <c r="D19" s="70"/>
      <c r="E19" s="69"/>
      <c r="F19" s="69"/>
      <c r="G19" s="69"/>
      <c r="H19" s="69"/>
      <c r="I19" s="53"/>
      <c r="J19" s="56"/>
      <c r="K19" s="71"/>
      <c r="L19" s="57"/>
      <c r="M19" s="57"/>
      <c r="N19" s="57"/>
      <c r="O19" s="57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</row>
    <row r="20" spans="1:41">
      <c r="A20" s="75"/>
      <c r="B20" s="26"/>
      <c r="C20" s="74" t="str">
        <f t="shared" ca="1" si="0"/>
        <v/>
      </c>
      <c r="D20" s="70"/>
      <c r="E20" s="69"/>
      <c r="F20" s="69"/>
      <c r="G20" s="69"/>
      <c r="H20" s="69"/>
      <c r="I20" s="53"/>
      <c r="J20" s="56"/>
    </row>
    <row r="21" spans="1:41">
      <c r="A21" s="75"/>
      <c r="B21" s="26"/>
      <c r="C21" s="74" t="str">
        <f t="shared" ca="1" si="0"/>
        <v/>
      </c>
      <c r="D21" s="70"/>
      <c r="E21" s="69"/>
      <c r="F21" s="69"/>
      <c r="G21" s="69"/>
      <c r="H21" s="69"/>
      <c r="I21" s="53"/>
      <c r="J21" s="56"/>
    </row>
    <row r="22" spans="1:41" s="63" customFormat="1" ht="14.25">
      <c r="A22" s="75"/>
      <c r="B22" s="26"/>
      <c r="C22" s="74" t="str">
        <f t="shared" ca="1" si="0"/>
        <v/>
      </c>
      <c r="D22" s="70"/>
      <c r="E22" s="69"/>
      <c r="F22" s="69"/>
      <c r="G22" s="69"/>
      <c r="H22" s="69"/>
      <c r="I22" s="53"/>
      <c r="J22" s="56"/>
      <c r="K22" s="57"/>
      <c r="L22" s="57"/>
      <c r="M22" s="57"/>
      <c r="N22" s="57"/>
      <c r="O22" s="57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</row>
    <row r="23" spans="1:41" s="63" customFormat="1" ht="14.25">
      <c r="A23" s="75"/>
      <c r="B23" s="26"/>
      <c r="C23" s="74" t="str">
        <f t="shared" ca="1" si="0"/>
        <v/>
      </c>
      <c r="D23" s="70"/>
      <c r="E23" s="69"/>
      <c r="F23" s="69"/>
      <c r="G23" s="69"/>
      <c r="H23" s="69"/>
      <c r="I23" s="53"/>
      <c r="J23" s="57"/>
      <c r="K23" s="57"/>
      <c r="L23" s="57"/>
      <c r="M23" s="57"/>
      <c r="N23" s="57"/>
      <c r="O23" s="57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</row>
    <row r="24" spans="1:41" s="63" customFormat="1" ht="23.25">
      <c r="A24" s="73"/>
      <c r="B24" s="16"/>
      <c r="C24" s="74" t="str">
        <f t="shared" ca="1" si="0"/>
        <v/>
      </c>
      <c r="D24" s="50"/>
      <c r="E24" s="50"/>
      <c r="F24" s="58"/>
      <c r="G24" s="52"/>
      <c r="H24" s="52"/>
      <c r="I24" s="53"/>
      <c r="J24" s="57"/>
      <c r="K24" s="57"/>
      <c r="L24" s="57"/>
      <c r="M24" s="57"/>
      <c r="N24" s="57"/>
      <c r="O24" s="57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</row>
    <row r="25" spans="1:41" s="63" customFormat="1" ht="23.25">
      <c r="A25" s="73"/>
      <c r="B25" s="16"/>
      <c r="C25" s="74" t="str">
        <f t="shared" ca="1" si="0"/>
        <v/>
      </c>
      <c r="D25" s="50"/>
      <c r="E25" s="50"/>
      <c r="F25" s="58"/>
      <c r="G25" s="52"/>
      <c r="H25" s="52"/>
      <c r="I25" s="53"/>
      <c r="J25" s="56"/>
      <c r="K25" s="57"/>
      <c r="L25" s="57"/>
      <c r="M25" s="57"/>
      <c r="N25" s="57"/>
      <c r="O25" s="57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</row>
    <row r="26" spans="1:41" s="63" customFormat="1" ht="23.25">
      <c r="A26" s="73"/>
      <c r="B26" s="16"/>
      <c r="C26" s="74" t="str">
        <f t="shared" ca="1" si="0"/>
        <v/>
      </c>
      <c r="D26" s="50"/>
      <c r="E26" s="50"/>
      <c r="F26" s="58"/>
      <c r="G26" s="52"/>
      <c r="H26" s="52"/>
      <c r="I26" s="53"/>
      <c r="J26" s="56"/>
      <c r="K26" s="57"/>
      <c r="L26" s="57"/>
      <c r="M26" s="57"/>
      <c r="N26" s="57"/>
      <c r="O26" s="57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</row>
    <row r="27" spans="1:41" s="63" customFormat="1" ht="35.25" customHeight="1">
      <c r="A27" s="75"/>
      <c r="B27" s="15"/>
      <c r="C27" s="74" t="str">
        <f t="shared" ca="1" si="0"/>
        <v/>
      </c>
      <c r="D27" s="50"/>
      <c r="E27" s="58"/>
      <c r="F27" s="52"/>
      <c r="G27" s="52"/>
      <c r="H27" s="53"/>
      <c r="I27" s="56"/>
      <c r="J27" s="56"/>
      <c r="K27" s="56"/>
      <c r="L27" s="57"/>
      <c r="M27" s="57"/>
      <c r="N27" s="57"/>
      <c r="O27" s="54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</row>
    <row r="28" spans="1:41" s="63" customFormat="1" ht="23.25">
      <c r="A28" s="73"/>
      <c r="B28" s="15"/>
      <c r="C28" s="74" t="str">
        <f t="shared" ca="1" si="0"/>
        <v/>
      </c>
      <c r="D28" s="50"/>
      <c r="E28" s="58"/>
      <c r="F28" s="52"/>
      <c r="G28" s="52"/>
      <c r="H28" s="53"/>
      <c r="I28" s="56"/>
      <c r="J28" s="62"/>
      <c r="K28" s="62"/>
      <c r="L28" s="57"/>
      <c r="M28" s="57"/>
      <c r="N28" s="57"/>
      <c r="O28" s="5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8"/>
      <c r="AF28" s="68"/>
      <c r="AG28" s="68"/>
      <c r="AH28" s="68"/>
      <c r="AI28" s="68"/>
      <c r="AJ28" s="68"/>
      <c r="AK28" s="68"/>
      <c r="AL28" s="68"/>
      <c r="AM28" s="68"/>
      <c r="AN28" s="68"/>
    </row>
    <row r="29" spans="1:41" s="63" customFormat="1" ht="23.25">
      <c r="A29" s="73"/>
      <c r="B29" s="15"/>
      <c r="C29" s="74" t="str">
        <f t="shared" ca="1" si="0"/>
        <v/>
      </c>
      <c r="D29" s="50"/>
      <c r="E29" s="58"/>
      <c r="F29" s="52"/>
      <c r="G29" s="52"/>
      <c r="H29" s="53"/>
      <c r="I29" s="56"/>
      <c r="J29" s="57"/>
      <c r="K29" s="57"/>
      <c r="L29" s="57"/>
      <c r="M29" s="57"/>
      <c r="N29" s="57"/>
      <c r="O29" s="54"/>
      <c r="P29" s="64"/>
      <c r="Q29" s="64"/>
      <c r="R29" s="64"/>
      <c r="S29" s="64"/>
      <c r="T29" s="64"/>
      <c r="U29" s="64"/>
      <c r="V29" s="64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</row>
    <row r="30" spans="1:41">
      <c r="C30" s="74" t="str">
        <f t="shared" ca="1" si="0"/>
        <v/>
      </c>
    </row>
    <row r="31" spans="1:41">
      <c r="C31" s="74" t="str">
        <f t="shared" ca="1" si="0"/>
        <v/>
      </c>
    </row>
    <row r="32" spans="1:41">
      <c r="C32" s="74" t="str">
        <f t="shared" ca="1" si="0"/>
        <v/>
      </c>
    </row>
    <row r="33" spans="3:3">
      <c r="C33" s="74" t="str">
        <f t="shared" ca="1" si="0"/>
        <v/>
      </c>
    </row>
    <row r="34" spans="3:3">
      <c r="C34" s="74" t="str">
        <f t="shared" ca="1" si="0"/>
        <v/>
      </c>
    </row>
    <row r="35" spans="3:3">
      <c r="C35" s="74" t="str">
        <f t="shared" ca="1" si="0"/>
        <v/>
      </c>
    </row>
    <row r="36" spans="3:3">
      <c r="C36" s="74" t="str">
        <f t="shared" ca="1" si="0"/>
        <v/>
      </c>
    </row>
    <row r="37" spans="3:3">
      <c r="C37" s="74" t="str">
        <f t="shared" ca="1" si="0"/>
        <v/>
      </c>
    </row>
    <row r="38" spans="3:3">
      <c r="C38" s="74" t="str">
        <f t="shared" ca="1" si="0"/>
        <v/>
      </c>
    </row>
    <row r="39" spans="3:3">
      <c r="C39" s="74" t="str">
        <f t="shared" ca="1" si="0"/>
        <v/>
      </c>
    </row>
    <row r="40" spans="3:3">
      <c r="C40" s="74" t="str">
        <f t="shared" ca="1" si="0"/>
        <v/>
      </c>
    </row>
    <row r="41" spans="3:3">
      <c r="C41" s="74" t="str">
        <f t="shared" ca="1" si="0"/>
        <v/>
      </c>
    </row>
    <row r="42" spans="3:3">
      <c r="C42" s="74" t="str">
        <f t="shared" ca="1" si="0"/>
        <v/>
      </c>
    </row>
    <row r="43" spans="3:3">
      <c r="C43" s="74" t="str">
        <f t="shared" ca="1" si="0"/>
        <v/>
      </c>
    </row>
    <row r="44" spans="3:3">
      <c r="C44" s="74" t="str">
        <f t="shared" ca="1" si="0"/>
        <v/>
      </c>
    </row>
    <row r="45" spans="3:3">
      <c r="C45" s="74" t="str">
        <f t="shared" ca="1" si="0"/>
        <v/>
      </c>
    </row>
    <row r="46" spans="3:3">
      <c r="C46" s="74" t="str">
        <f t="shared" ca="1" si="0"/>
        <v/>
      </c>
    </row>
    <row r="47" spans="3:3">
      <c r="C47" s="74" t="str">
        <f t="shared" ca="1" si="0"/>
        <v/>
      </c>
    </row>
    <row r="48" spans="3:3">
      <c r="C48" s="74" t="str">
        <f t="shared" ca="1" si="0"/>
        <v/>
      </c>
    </row>
    <row r="49" spans="3:3">
      <c r="C49" s="74" t="str">
        <f t="shared" ca="1" si="0"/>
        <v/>
      </c>
    </row>
    <row r="50" spans="3:3">
      <c r="C50" s="74" t="str">
        <f t="shared" ca="1" si="0"/>
        <v/>
      </c>
    </row>
    <row r="51" spans="3:3">
      <c r="C51" s="74" t="str">
        <f t="shared" ca="1" si="0"/>
        <v/>
      </c>
    </row>
    <row r="52" spans="3:3">
      <c r="C52" s="74" t="str">
        <f t="shared" ca="1" si="0"/>
        <v/>
      </c>
    </row>
    <row r="53" spans="3:3">
      <c r="C53" s="74" t="str">
        <f t="shared" ca="1" si="0"/>
        <v/>
      </c>
    </row>
    <row r="54" spans="3:3">
      <c r="C54" s="74" t="str">
        <f t="shared" ca="1" si="0"/>
        <v/>
      </c>
    </row>
    <row r="55" spans="3:3">
      <c r="C55" s="74" t="str">
        <f t="shared" ca="1" si="0"/>
        <v/>
      </c>
    </row>
    <row r="56" spans="3:3">
      <c r="C56" s="74" t="str">
        <f t="shared" ca="1" si="0"/>
        <v/>
      </c>
    </row>
    <row r="57" spans="3:3">
      <c r="C57" s="74" t="str">
        <f t="shared" ca="1" si="0"/>
        <v/>
      </c>
    </row>
    <row r="58" spans="3:3">
      <c r="C58" s="74" t="str">
        <f t="shared" ca="1" si="0"/>
        <v/>
      </c>
    </row>
    <row r="59" spans="3:3">
      <c r="C59" s="74" t="str">
        <f t="shared" ca="1" si="0"/>
        <v/>
      </c>
    </row>
    <row r="60" spans="3:3">
      <c r="C60" s="74" t="str">
        <f t="shared" ca="1" si="0"/>
        <v/>
      </c>
    </row>
    <row r="61" spans="3:3">
      <c r="C61" s="74" t="str">
        <f t="shared" ca="1" si="0"/>
        <v/>
      </c>
    </row>
    <row r="62" spans="3:3">
      <c r="C62" s="74" t="str">
        <f t="shared" ca="1" si="0"/>
        <v/>
      </c>
    </row>
    <row r="63" spans="3:3">
      <c r="C63" s="74" t="str">
        <f t="shared" ca="1" si="0"/>
        <v/>
      </c>
    </row>
    <row r="64" spans="3:3">
      <c r="C64" s="74" t="str">
        <f t="shared" ca="1" si="0"/>
        <v/>
      </c>
    </row>
    <row r="65" spans="3:3">
      <c r="C65" s="74" t="str">
        <f t="shared" ca="1" si="0"/>
        <v/>
      </c>
    </row>
    <row r="66" spans="3:3">
      <c r="C66" s="74" t="str">
        <f t="shared" ca="1" si="0"/>
        <v/>
      </c>
    </row>
    <row r="67" spans="3:3">
      <c r="C67" s="74" t="str">
        <f t="shared" ref="C67:C130" ca="1" si="1">IF(B67&lt;&gt;"", IF(C67="", NOW(), C67), "")</f>
        <v/>
      </c>
    </row>
    <row r="68" spans="3:3">
      <c r="C68" s="74" t="str">
        <f t="shared" ca="1" si="1"/>
        <v/>
      </c>
    </row>
    <row r="69" spans="3:3">
      <c r="C69" s="74" t="str">
        <f t="shared" ca="1" si="1"/>
        <v/>
      </c>
    </row>
    <row r="70" spans="3:3">
      <c r="C70" s="74" t="str">
        <f t="shared" ca="1" si="1"/>
        <v/>
      </c>
    </row>
    <row r="71" spans="3:3">
      <c r="C71" s="74" t="str">
        <f t="shared" ca="1" si="1"/>
        <v/>
      </c>
    </row>
    <row r="72" spans="3:3">
      <c r="C72" s="74" t="str">
        <f t="shared" ca="1" si="1"/>
        <v/>
      </c>
    </row>
    <row r="73" spans="3:3">
      <c r="C73" s="74" t="str">
        <f t="shared" ca="1" si="1"/>
        <v/>
      </c>
    </row>
    <row r="74" spans="3:3">
      <c r="C74" s="74" t="str">
        <f t="shared" ca="1" si="1"/>
        <v/>
      </c>
    </row>
    <row r="75" spans="3:3">
      <c r="C75" s="74" t="str">
        <f t="shared" ca="1" si="1"/>
        <v/>
      </c>
    </row>
    <row r="76" spans="3:3">
      <c r="C76" s="74" t="str">
        <f t="shared" ca="1" si="1"/>
        <v/>
      </c>
    </row>
    <row r="77" spans="3:3">
      <c r="C77" s="74" t="str">
        <f t="shared" ca="1" si="1"/>
        <v/>
      </c>
    </row>
    <row r="78" spans="3:3">
      <c r="C78" s="74" t="str">
        <f t="shared" ca="1" si="1"/>
        <v/>
      </c>
    </row>
    <row r="79" spans="3:3">
      <c r="C79" s="74" t="str">
        <f t="shared" ca="1" si="1"/>
        <v/>
      </c>
    </row>
    <row r="80" spans="3:3">
      <c r="C80" s="74" t="str">
        <f t="shared" ca="1" si="1"/>
        <v/>
      </c>
    </row>
    <row r="81" spans="3:3">
      <c r="C81" s="74" t="str">
        <f t="shared" ca="1" si="1"/>
        <v/>
      </c>
    </row>
    <row r="82" spans="3:3">
      <c r="C82" s="74" t="str">
        <f t="shared" ca="1" si="1"/>
        <v/>
      </c>
    </row>
    <row r="83" spans="3:3">
      <c r="C83" s="74" t="str">
        <f t="shared" ca="1" si="1"/>
        <v/>
      </c>
    </row>
    <row r="84" spans="3:3">
      <c r="C84" s="74" t="str">
        <f t="shared" ca="1" si="1"/>
        <v/>
      </c>
    </row>
    <row r="85" spans="3:3">
      <c r="C85" s="74" t="str">
        <f t="shared" ca="1" si="1"/>
        <v/>
      </c>
    </row>
    <row r="86" spans="3:3">
      <c r="C86" s="74" t="str">
        <f t="shared" ca="1" si="1"/>
        <v/>
      </c>
    </row>
    <row r="87" spans="3:3">
      <c r="C87" s="74" t="str">
        <f t="shared" ca="1" si="1"/>
        <v/>
      </c>
    </row>
    <row r="88" spans="3:3">
      <c r="C88" s="74" t="str">
        <f t="shared" ca="1" si="1"/>
        <v/>
      </c>
    </row>
    <row r="89" spans="3:3">
      <c r="C89" s="74" t="str">
        <f t="shared" ca="1" si="1"/>
        <v/>
      </c>
    </row>
    <row r="90" spans="3:3">
      <c r="C90" s="74" t="str">
        <f t="shared" ca="1" si="1"/>
        <v/>
      </c>
    </row>
    <row r="91" spans="3:3">
      <c r="C91" s="74" t="str">
        <f t="shared" ca="1" si="1"/>
        <v/>
      </c>
    </row>
    <row r="92" spans="3:3">
      <c r="C92" s="74" t="str">
        <f t="shared" ca="1" si="1"/>
        <v/>
      </c>
    </row>
    <row r="93" spans="3:3">
      <c r="C93" s="74" t="str">
        <f t="shared" ca="1" si="1"/>
        <v/>
      </c>
    </row>
    <row r="94" spans="3:3">
      <c r="C94" s="74" t="str">
        <f t="shared" ca="1" si="1"/>
        <v/>
      </c>
    </row>
    <row r="95" spans="3:3">
      <c r="C95" s="74" t="str">
        <f t="shared" ca="1" si="1"/>
        <v/>
      </c>
    </row>
    <row r="96" spans="3:3">
      <c r="C96" s="74" t="str">
        <f t="shared" ca="1" si="1"/>
        <v/>
      </c>
    </row>
    <row r="97" spans="3:3">
      <c r="C97" s="74" t="str">
        <f t="shared" ca="1" si="1"/>
        <v/>
      </c>
    </row>
    <row r="98" spans="3:3">
      <c r="C98" s="74" t="str">
        <f t="shared" ca="1" si="1"/>
        <v/>
      </c>
    </row>
    <row r="99" spans="3:3">
      <c r="C99" s="74" t="str">
        <f t="shared" ca="1" si="1"/>
        <v/>
      </c>
    </row>
    <row r="100" spans="3:3">
      <c r="C100" s="74" t="str">
        <f t="shared" ca="1" si="1"/>
        <v/>
      </c>
    </row>
    <row r="101" spans="3:3">
      <c r="C101" s="74" t="str">
        <f t="shared" ca="1" si="1"/>
        <v/>
      </c>
    </row>
    <row r="102" spans="3:3">
      <c r="C102" s="74" t="str">
        <f t="shared" ca="1" si="1"/>
        <v/>
      </c>
    </row>
    <row r="103" spans="3:3">
      <c r="C103" s="74" t="str">
        <f t="shared" ca="1" si="1"/>
        <v/>
      </c>
    </row>
    <row r="104" spans="3:3">
      <c r="C104" s="74" t="str">
        <f t="shared" ca="1" si="1"/>
        <v/>
      </c>
    </row>
    <row r="105" spans="3:3">
      <c r="C105" s="74" t="str">
        <f t="shared" ca="1" si="1"/>
        <v/>
      </c>
    </row>
    <row r="106" spans="3:3">
      <c r="C106" s="74" t="str">
        <f t="shared" ca="1" si="1"/>
        <v/>
      </c>
    </row>
    <row r="107" spans="3:3">
      <c r="C107" s="74" t="str">
        <f t="shared" ca="1" si="1"/>
        <v/>
      </c>
    </row>
    <row r="108" spans="3:3">
      <c r="C108" s="74" t="str">
        <f t="shared" ca="1" si="1"/>
        <v/>
      </c>
    </row>
    <row r="109" spans="3:3">
      <c r="C109" s="74" t="str">
        <f t="shared" ca="1" si="1"/>
        <v/>
      </c>
    </row>
    <row r="110" spans="3:3">
      <c r="C110" s="74" t="str">
        <f t="shared" ca="1" si="1"/>
        <v/>
      </c>
    </row>
    <row r="111" spans="3:3">
      <c r="C111" s="74" t="str">
        <f t="shared" ca="1" si="1"/>
        <v/>
      </c>
    </row>
    <row r="112" spans="3:3">
      <c r="C112" s="74" t="str">
        <f t="shared" ca="1" si="1"/>
        <v/>
      </c>
    </row>
    <row r="113" spans="3:3">
      <c r="C113" s="74" t="str">
        <f t="shared" ca="1" si="1"/>
        <v/>
      </c>
    </row>
    <row r="114" spans="3:3">
      <c r="C114" s="74" t="str">
        <f t="shared" ca="1" si="1"/>
        <v/>
      </c>
    </row>
    <row r="115" spans="3:3">
      <c r="C115" s="74" t="str">
        <f t="shared" ca="1" si="1"/>
        <v/>
      </c>
    </row>
    <row r="116" spans="3:3">
      <c r="C116" s="74" t="str">
        <f t="shared" ca="1" si="1"/>
        <v/>
      </c>
    </row>
    <row r="117" spans="3:3">
      <c r="C117" s="74" t="str">
        <f t="shared" ca="1" si="1"/>
        <v/>
      </c>
    </row>
    <row r="118" spans="3:3">
      <c r="C118" s="74" t="str">
        <f t="shared" ca="1" si="1"/>
        <v/>
      </c>
    </row>
    <row r="119" spans="3:3">
      <c r="C119" s="74" t="str">
        <f t="shared" ca="1" si="1"/>
        <v/>
      </c>
    </row>
    <row r="120" spans="3:3">
      <c r="C120" s="74" t="str">
        <f t="shared" ca="1" si="1"/>
        <v/>
      </c>
    </row>
    <row r="121" spans="3:3">
      <c r="C121" s="74" t="str">
        <f t="shared" ca="1" si="1"/>
        <v/>
      </c>
    </row>
    <row r="122" spans="3:3">
      <c r="C122" s="74" t="str">
        <f t="shared" ca="1" si="1"/>
        <v/>
      </c>
    </row>
    <row r="123" spans="3:3">
      <c r="C123" s="74" t="str">
        <f t="shared" ca="1" si="1"/>
        <v/>
      </c>
    </row>
    <row r="124" spans="3:3">
      <c r="C124" s="74" t="str">
        <f t="shared" ca="1" si="1"/>
        <v/>
      </c>
    </row>
    <row r="125" spans="3:3">
      <c r="C125" s="74" t="str">
        <f t="shared" ca="1" si="1"/>
        <v/>
      </c>
    </row>
    <row r="126" spans="3:3">
      <c r="C126" s="74" t="str">
        <f t="shared" ca="1" si="1"/>
        <v/>
      </c>
    </row>
    <row r="127" spans="3:3">
      <c r="C127" s="74" t="str">
        <f t="shared" ca="1" si="1"/>
        <v/>
      </c>
    </row>
    <row r="128" spans="3:3">
      <c r="C128" s="74" t="str">
        <f t="shared" ca="1" si="1"/>
        <v/>
      </c>
    </row>
    <row r="129" spans="3:3">
      <c r="C129" s="74" t="str">
        <f t="shared" ca="1" si="1"/>
        <v/>
      </c>
    </row>
    <row r="130" spans="3:3">
      <c r="C130" s="74" t="str">
        <f t="shared" ca="1" si="1"/>
        <v/>
      </c>
    </row>
    <row r="131" spans="3:3">
      <c r="C131" s="74" t="str">
        <f t="shared" ref="C131:C194" ca="1" si="2">IF(B131&lt;&gt;"", IF(C131="", NOW(), C131), "")</f>
        <v/>
      </c>
    </row>
    <row r="132" spans="3:3">
      <c r="C132" s="74" t="str">
        <f t="shared" ca="1" si="2"/>
        <v/>
      </c>
    </row>
    <row r="133" spans="3:3">
      <c r="C133" s="74" t="str">
        <f t="shared" ca="1" si="2"/>
        <v/>
      </c>
    </row>
    <row r="134" spans="3:3">
      <c r="C134" s="74" t="str">
        <f t="shared" ca="1" si="2"/>
        <v/>
      </c>
    </row>
    <row r="135" spans="3:3">
      <c r="C135" s="74" t="str">
        <f t="shared" ca="1" si="2"/>
        <v/>
      </c>
    </row>
    <row r="136" spans="3:3">
      <c r="C136" s="74" t="str">
        <f t="shared" ca="1" si="2"/>
        <v/>
      </c>
    </row>
    <row r="137" spans="3:3">
      <c r="C137" s="74" t="str">
        <f t="shared" ca="1" si="2"/>
        <v/>
      </c>
    </row>
    <row r="138" spans="3:3">
      <c r="C138" s="74" t="str">
        <f t="shared" ca="1" si="2"/>
        <v/>
      </c>
    </row>
    <row r="139" spans="3:3">
      <c r="C139" s="74" t="str">
        <f t="shared" ca="1" si="2"/>
        <v/>
      </c>
    </row>
    <row r="140" spans="3:3">
      <c r="C140" s="74" t="str">
        <f t="shared" ca="1" si="2"/>
        <v/>
      </c>
    </row>
    <row r="141" spans="3:3">
      <c r="C141" s="74" t="str">
        <f t="shared" ca="1" si="2"/>
        <v/>
      </c>
    </row>
    <row r="142" spans="3:3">
      <c r="C142" s="74" t="str">
        <f t="shared" ca="1" si="2"/>
        <v/>
      </c>
    </row>
    <row r="143" spans="3:3">
      <c r="C143" s="74" t="str">
        <f t="shared" ca="1" si="2"/>
        <v/>
      </c>
    </row>
    <row r="144" spans="3:3">
      <c r="C144" s="74" t="str">
        <f t="shared" ca="1" si="2"/>
        <v/>
      </c>
    </row>
    <row r="145" spans="3:3">
      <c r="C145" s="74" t="str">
        <f t="shared" ca="1" si="2"/>
        <v/>
      </c>
    </row>
    <row r="146" spans="3:3">
      <c r="C146" s="74" t="str">
        <f t="shared" ca="1" si="2"/>
        <v/>
      </c>
    </row>
    <row r="147" spans="3:3">
      <c r="C147" s="74" t="str">
        <f t="shared" ca="1" si="2"/>
        <v/>
      </c>
    </row>
    <row r="148" spans="3:3">
      <c r="C148" s="74" t="str">
        <f t="shared" ca="1" si="2"/>
        <v/>
      </c>
    </row>
    <row r="149" spans="3:3">
      <c r="C149" s="74" t="str">
        <f t="shared" ca="1" si="2"/>
        <v/>
      </c>
    </row>
    <row r="150" spans="3:3">
      <c r="C150" s="74" t="str">
        <f t="shared" ca="1" si="2"/>
        <v/>
      </c>
    </row>
    <row r="151" spans="3:3">
      <c r="C151" s="74" t="str">
        <f t="shared" ca="1" si="2"/>
        <v/>
      </c>
    </row>
    <row r="152" spans="3:3">
      <c r="C152" s="74" t="str">
        <f t="shared" ca="1" si="2"/>
        <v/>
      </c>
    </row>
    <row r="153" spans="3:3">
      <c r="C153" s="74" t="str">
        <f t="shared" ca="1" si="2"/>
        <v/>
      </c>
    </row>
    <row r="154" spans="3:3">
      <c r="C154" s="74" t="str">
        <f t="shared" ca="1" si="2"/>
        <v/>
      </c>
    </row>
    <row r="155" spans="3:3">
      <c r="C155" s="74" t="str">
        <f t="shared" ca="1" si="2"/>
        <v/>
      </c>
    </row>
    <row r="156" spans="3:3">
      <c r="C156" s="74" t="str">
        <f t="shared" ca="1" si="2"/>
        <v/>
      </c>
    </row>
    <row r="157" spans="3:3">
      <c r="C157" s="74" t="str">
        <f t="shared" ca="1" si="2"/>
        <v/>
      </c>
    </row>
    <row r="158" spans="3:3">
      <c r="C158" s="74" t="str">
        <f t="shared" ca="1" si="2"/>
        <v/>
      </c>
    </row>
    <row r="159" spans="3:3">
      <c r="C159" s="74" t="str">
        <f t="shared" ca="1" si="2"/>
        <v/>
      </c>
    </row>
    <row r="160" spans="3:3">
      <c r="C160" s="74" t="str">
        <f t="shared" ca="1" si="2"/>
        <v/>
      </c>
    </row>
    <row r="161" spans="3:3">
      <c r="C161" s="74" t="str">
        <f t="shared" ca="1" si="2"/>
        <v/>
      </c>
    </row>
    <row r="162" spans="3:3">
      <c r="C162" s="74" t="str">
        <f t="shared" ca="1" si="2"/>
        <v/>
      </c>
    </row>
    <row r="163" spans="3:3">
      <c r="C163" s="74" t="str">
        <f t="shared" ca="1" si="2"/>
        <v/>
      </c>
    </row>
    <row r="164" spans="3:3">
      <c r="C164" s="74" t="str">
        <f t="shared" ca="1" si="2"/>
        <v/>
      </c>
    </row>
    <row r="165" spans="3:3">
      <c r="C165" s="74" t="str">
        <f t="shared" ca="1" si="2"/>
        <v/>
      </c>
    </row>
    <row r="166" spans="3:3">
      <c r="C166" s="74" t="str">
        <f t="shared" ca="1" si="2"/>
        <v/>
      </c>
    </row>
    <row r="167" spans="3:3">
      <c r="C167" s="74" t="str">
        <f t="shared" ca="1" si="2"/>
        <v/>
      </c>
    </row>
    <row r="168" spans="3:3">
      <c r="C168" s="74" t="str">
        <f t="shared" ca="1" si="2"/>
        <v/>
      </c>
    </row>
    <row r="169" spans="3:3">
      <c r="C169" s="74" t="str">
        <f t="shared" ca="1" si="2"/>
        <v/>
      </c>
    </row>
    <row r="170" spans="3:3">
      <c r="C170" s="74" t="str">
        <f t="shared" ca="1" si="2"/>
        <v/>
      </c>
    </row>
    <row r="171" spans="3:3">
      <c r="C171" s="74" t="str">
        <f t="shared" ca="1" si="2"/>
        <v/>
      </c>
    </row>
    <row r="172" spans="3:3">
      <c r="C172" s="74" t="str">
        <f t="shared" ca="1" si="2"/>
        <v/>
      </c>
    </row>
    <row r="173" spans="3:3">
      <c r="C173" s="74" t="str">
        <f t="shared" ca="1" si="2"/>
        <v/>
      </c>
    </row>
    <row r="174" spans="3:3">
      <c r="C174" s="74" t="str">
        <f t="shared" ca="1" si="2"/>
        <v/>
      </c>
    </row>
    <row r="175" spans="3:3">
      <c r="C175" s="74" t="str">
        <f t="shared" ca="1" si="2"/>
        <v/>
      </c>
    </row>
    <row r="176" spans="3:3">
      <c r="C176" s="74" t="str">
        <f t="shared" ca="1" si="2"/>
        <v/>
      </c>
    </row>
    <row r="177" spans="3:3">
      <c r="C177" s="74" t="str">
        <f t="shared" ca="1" si="2"/>
        <v/>
      </c>
    </row>
    <row r="178" spans="3:3">
      <c r="C178" s="74" t="str">
        <f t="shared" ca="1" si="2"/>
        <v/>
      </c>
    </row>
    <row r="179" spans="3:3">
      <c r="C179" s="74" t="str">
        <f t="shared" ca="1" si="2"/>
        <v/>
      </c>
    </row>
    <row r="180" spans="3:3">
      <c r="C180" s="74" t="str">
        <f t="shared" ca="1" si="2"/>
        <v/>
      </c>
    </row>
    <row r="181" spans="3:3">
      <c r="C181" s="74" t="str">
        <f t="shared" ca="1" si="2"/>
        <v/>
      </c>
    </row>
    <row r="182" spans="3:3">
      <c r="C182" s="74" t="str">
        <f t="shared" ca="1" si="2"/>
        <v/>
      </c>
    </row>
    <row r="183" spans="3:3">
      <c r="C183" s="74" t="str">
        <f t="shared" ca="1" si="2"/>
        <v/>
      </c>
    </row>
    <row r="184" spans="3:3">
      <c r="C184" s="74" t="str">
        <f t="shared" ca="1" si="2"/>
        <v/>
      </c>
    </row>
    <row r="185" spans="3:3">
      <c r="C185" s="74" t="str">
        <f t="shared" ca="1" si="2"/>
        <v/>
      </c>
    </row>
    <row r="186" spans="3:3">
      <c r="C186" s="74" t="str">
        <f t="shared" ca="1" si="2"/>
        <v/>
      </c>
    </row>
    <row r="187" spans="3:3">
      <c r="C187" s="74" t="str">
        <f t="shared" ca="1" si="2"/>
        <v/>
      </c>
    </row>
    <row r="188" spans="3:3">
      <c r="C188" s="74" t="str">
        <f t="shared" ca="1" si="2"/>
        <v/>
      </c>
    </row>
    <row r="189" spans="3:3">
      <c r="C189" s="74" t="str">
        <f t="shared" ca="1" si="2"/>
        <v/>
      </c>
    </row>
    <row r="190" spans="3:3">
      <c r="C190" s="74" t="str">
        <f t="shared" ca="1" si="2"/>
        <v/>
      </c>
    </row>
    <row r="191" spans="3:3">
      <c r="C191" s="74" t="str">
        <f t="shared" ca="1" si="2"/>
        <v/>
      </c>
    </row>
    <row r="192" spans="3:3">
      <c r="C192" s="74" t="str">
        <f t="shared" ca="1" si="2"/>
        <v/>
      </c>
    </row>
    <row r="193" spans="3:3">
      <c r="C193" s="74" t="str">
        <f t="shared" ca="1" si="2"/>
        <v/>
      </c>
    </row>
    <row r="194" spans="3:3">
      <c r="C194" s="74" t="str">
        <f t="shared" ca="1" si="2"/>
        <v/>
      </c>
    </row>
    <row r="195" spans="3:3">
      <c r="C195" s="74" t="str">
        <f t="shared" ref="C195:C247" ca="1" si="3">IF(B195&lt;&gt;"", IF(C195="", NOW(), C195), "")</f>
        <v/>
      </c>
    </row>
    <row r="196" spans="3:3">
      <c r="C196" s="74" t="str">
        <f t="shared" ca="1" si="3"/>
        <v/>
      </c>
    </row>
    <row r="197" spans="3:3">
      <c r="C197" s="74" t="str">
        <f t="shared" ca="1" si="3"/>
        <v/>
      </c>
    </row>
    <row r="198" spans="3:3">
      <c r="C198" s="74" t="str">
        <f t="shared" ca="1" si="3"/>
        <v/>
      </c>
    </row>
    <row r="199" spans="3:3">
      <c r="C199" s="74" t="str">
        <f t="shared" ca="1" si="3"/>
        <v/>
      </c>
    </row>
    <row r="200" spans="3:3">
      <c r="C200" s="74" t="str">
        <f t="shared" ca="1" si="3"/>
        <v/>
      </c>
    </row>
    <row r="201" spans="3:3">
      <c r="C201" s="74" t="str">
        <f t="shared" ca="1" si="3"/>
        <v/>
      </c>
    </row>
    <row r="202" spans="3:3">
      <c r="C202" s="74" t="str">
        <f t="shared" ca="1" si="3"/>
        <v/>
      </c>
    </row>
    <row r="203" spans="3:3">
      <c r="C203" s="74" t="str">
        <f t="shared" ca="1" si="3"/>
        <v/>
      </c>
    </row>
    <row r="204" spans="3:3">
      <c r="C204" s="74" t="str">
        <f t="shared" ca="1" si="3"/>
        <v/>
      </c>
    </row>
    <row r="205" spans="3:3">
      <c r="C205" s="74" t="str">
        <f t="shared" ca="1" si="3"/>
        <v/>
      </c>
    </row>
    <row r="206" spans="3:3">
      <c r="C206" s="74" t="str">
        <f t="shared" ca="1" si="3"/>
        <v/>
      </c>
    </row>
    <row r="207" spans="3:3">
      <c r="C207" s="74" t="str">
        <f t="shared" ca="1" si="3"/>
        <v/>
      </c>
    </row>
    <row r="208" spans="3:3">
      <c r="C208" s="74" t="str">
        <f t="shared" ca="1" si="3"/>
        <v/>
      </c>
    </row>
    <row r="209" spans="3:3">
      <c r="C209" s="74" t="str">
        <f t="shared" ca="1" si="3"/>
        <v/>
      </c>
    </row>
    <row r="210" spans="3:3">
      <c r="C210" s="74" t="str">
        <f t="shared" ca="1" si="3"/>
        <v/>
      </c>
    </row>
    <row r="211" spans="3:3">
      <c r="C211" s="74" t="str">
        <f t="shared" ca="1" si="3"/>
        <v/>
      </c>
    </row>
    <row r="212" spans="3:3">
      <c r="C212" s="74" t="str">
        <f t="shared" ca="1" si="3"/>
        <v/>
      </c>
    </row>
    <row r="213" spans="3:3">
      <c r="C213" s="74" t="str">
        <f t="shared" ca="1" si="3"/>
        <v/>
      </c>
    </row>
    <row r="214" spans="3:3">
      <c r="C214" s="74" t="str">
        <f t="shared" ca="1" si="3"/>
        <v/>
      </c>
    </row>
    <row r="215" spans="3:3">
      <c r="C215" s="74" t="str">
        <f t="shared" ca="1" si="3"/>
        <v/>
      </c>
    </row>
    <row r="216" spans="3:3">
      <c r="C216" s="74" t="str">
        <f t="shared" ca="1" si="3"/>
        <v/>
      </c>
    </row>
    <row r="217" spans="3:3">
      <c r="C217" s="74" t="str">
        <f t="shared" ca="1" si="3"/>
        <v/>
      </c>
    </row>
    <row r="218" spans="3:3">
      <c r="C218" s="74" t="str">
        <f t="shared" ca="1" si="3"/>
        <v/>
      </c>
    </row>
    <row r="219" spans="3:3">
      <c r="C219" s="74" t="str">
        <f t="shared" ca="1" si="3"/>
        <v/>
      </c>
    </row>
    <row r="220" spans="3:3">
      <c r="C220" s="74" t="str">
        <f t="shared" ca="1" si="3"/>
        <v/>
      </c>
    </row>
    <row r="221" spans="3:3">
      <c r="C221" s="74" t="str">
        <f t="shared" ca="1" si="3"/>
        <v/>
      </c>
    </row>
    <row r="222" spans="3:3">
      <c r="C222" s="74" t="str">
        <f t="shared" ca="1" si="3"/>
        <v/>
      </c>
    </row>
    <row r="223" spans="3:3">
      <c r="C223" s="74" t="str">
        <f t="shared" ca="1" si="3"/>
        <v/>
      </c>
    </row>
    <row r="224" spans="3:3">
      <c r="C224" s="74" t="str">
        <f t="shared" ca="1" si="3"/>
        <v/>
      </c>
    </row>
    <row r="225" spans="3:3">
      <c r="C225" s="74" t="str">
        <f t="shared" ca="1" si="3"/>
        <v/>
      </c>
    </row>
    <row r="226" spans="3:3">
      <c r="C226" s="74" t="str">
        <f t="shared" ca="1" si="3"/>
        <v/>
      </c>
    </row>
    <row r="227" spans="3:3">
      <c r="C227" s="74" t="str">
        <f t="shared" ca="1" si="3"/>
        <v/>
      </c>
    </row>
    <row r="228" spans="3:3">
      <c r="C228" s="74" t="str">
        <f t="shared" ca="1" si="3"/>
        <v/>
      </c>
    </row>
    <row r="229" spans="3:3">
      <c r="C229" s="74" t="str">
        <f t="shared" ca="1" si="3"/>
        <v/>
      </c>
    </row>
    <row r="230" spans="3:3">
      <c r="C230" s="74" t="str">
        <f t="shared" ca="1" si="3"/>
        <v/>
      </c>
    </row>
    <row r="231" spans="3:3">
      <c r="C231" s="74" t="str">
        <f t="shared" ca="1" si="3"/>
        <v/>
      </c>
    </row>
    <row r="232" spans="3:3">
      <c r="C232" s="74" t="str">
        <f t="shared" ca="1" si="3"/>
        <v/>
      </c>
    </row>
    <row r="233" spans="3:3">
      <c r="C233" s="74" t="str">
        <f t="shared" ca="1" si="3"/>
        <v/>
      </c>
    </row>
    <row r="234" spans="3:3">
      <c r="C234" s="74" t="str">
        <f t="shared" ca="1" si="3"/>
        <v/>
      </c>
    </row>
    <row r="235" spans="3:3">
      <c r="C235" s="74" t="str">
        <f t="shared" ca="1" si="3"/>
        <v/>
      </c>
    </row>
    <row r="236" spans="3:3">
      <c r="C236" s="74" t="str">
        <f t="shared" ca="1" si="3"/>
        <v/>
      </c>
    </row>
    <row r="237" spans="3:3">
      <c r="C237" s="74" t="str">
        <f t="shared" ca="1" si="3"/>
        <v/>
      </c>
    </row>
    <row r="238" spans="3:3">
      <c r="C238" s="74" t="str">
        <f t="shared" ca="1" si="3"/>
        <v/>
      </c>
    </row>
    <row r="239" spans="3:3">
      <c r="C239" s="74" t="str">
        <f t="shared" ca="1" si="3"/>
        <v/>
      </c>
    </row>
    <row r="240" spans="3:3">
      <c r="C240" s="74" t="str">
        <f t="shared" ca="1" si="3"/>
        <v/>
      </c>
    </row>
    <row r="241" spans="3:3">
      <c r="C241" s="74" t="str">
        <f t="shared" ca="1" si="3"/>
        <v/>
      </c>
    </row>
    <row r="242" spans="3:3">
      <c r="C242" s="74" t="str">
        <f t="shared" ca="1" si="3"/>
        <v/>
      </c>
    </row>
    <row r="243" spans="3:3">
      <c r="C243" s="74" t="str">
        <f t="shared" ca="1" si="3"/>
        <v/>
      </c>
    </row>
    <row r="244" spans="3:3">
      <c r="C244" s="74" t="str">
        <f t="shared" ca="1" si="3"/>
        <v/>
      </c>
    </row>
    <row r="245" spans="3:3">
      <c r="C245" s="74" t="str">
        <f t="shared" ca="1" si="3"/>
        <v/>
      </c>
    </row>
    <row r="246" spans="3:3">
      <c r="C246" s="74" t="str">
        <f t="shared" ca="1" si="3"/>
        <v/>
      </c>
    </row>
    <row r="247" spans="3:3">
      <c r="C247" s="74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70" priority="244" operator="equal">
      <formula>#REF!</formula>
    </cfRule>
    <cfRule type="cellIs" dxfId="69" priority="245" operator="equal">
      <formula>#REF!</formula>
    </cfRule>
    <cfRule type="cellIs" dxfId="68" priority="246" operator="equal">
      <formula>#REF!</formula>
    </cfRule>
    <cfRule type="cellIs" dxfId="67" priority="247" operator="equal">
      <formula>#REF!</formula>
    </cfRule>
    <cfRule type="cellIs" dxfId="66" priority="248" operator="equal">
      <formula>#REF!</formula>
    </cfRule>
  </conditionalFormatting>
  <conditionalFormatting sqref="B3">
    <cfRule type="cellIs" dxfId="65" priority="249" operator="equal">
      <formula>#REF!</formula>
    </cfRule>
  </conditionalFormatting>
  <conditionalFormatting sqref="B3">
    <cfRule type="cellIs" dxfId="64" priority="250" operator="equal">
      <formula>#REF!</formula>
    </cfRule>
    <cfRule type="cellIs" dxfId="63" priority="251" operator="equal">
      <formula>#REF!</formula>
    </cfRule>
    <cfRule type="cellIs" dxfId="62" priority="252" operator="equal">
      <formula>#REF!</formula>
    </cfRule>
    <cfRule type="cellIs" dxfId="61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60" priority="182" operator="equal">
      <formula>#REF!</formula>
    </cfRule>
    <cfRule type="cellIs" dxfId="59" priority="183" operator="equal">
      <formula>#REF!</formula>
    </cfRule>
    <cfRule type="cellIs" dxfId="58" priority="184" operator="equal">
      <formula>#REF!</formula>
    </cfRule>
    <cfRule type="cellIs" dxfId="57" priority="185" operator="equal">
      <formula>#REF!</formula>
    </cfRule>
    <cfRule type="cellIs" dxfId="56" priority="186" operator="equal">
      <formula>#REF!</formula>
    </cfRule>
  </conditionalFormatting>
  <conditionalFormatting sqref="B10">
    <cfRule type="cellIs" dxfId="55" priority="187" operator="equal">
      <formula>#REF!</formula>
    </cfRule>
  </conditionalFormatting>
  <conditionalFormatting sqref="B10">
    <cfRule type="cellIs" dxfId="54" priority="188" operator="equal">
      <formula>#REF!</formula>
    </cfRule>
    <cfRule type="cellIs" dxfId="53" priority="189" operator="equal">
      <formula>#REF!</formula>
    </cfRule>
    <cfRule type="cellIs" dxfId="52" priority="190" operator="equal">
      <formula>#REF!</formula>
    </cfRule>
    <cfRule type="cellIs" dxfId="51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50" priority="26" operator="equal">
      <formula>#REF!</formula>
    </cfRule>
    <cfRule type="cellIs" dxfId="49" priority="27" operator="equal">
      <formula>#REF!</formula>
    </cfRule>
    <cfRule type="cellIs" dxfId="48" priority="28" operator="equal">
      <formula>#REF!</formula>
    </cfRule>
    <cfRule type="cellIs" dxfId="47" priority="29" operator="equal">
      <formula>#REF!</formula>
    </cfRule>
    <cfRule type="cellIs" dxfId="46" priority="30" operator="equal">
      <formula>#REF!</formula>
    </cfRule>
  </conditionalFormatting>
  <conditionalFormatting sqref="B4">
    <cfRule type="cellIs" dxfId="45" priority="31" operator="equal">
      <formula>#REF!</formula>
    </cfRule>
  </conditionalFormatting>
  <conditionalFormatting sqref="B4">
    <cfRule type="cellIs" dxfId="44" priority="32" operator="equal">
      <formula>#REF!</formula>
    </cfRule>
    <cfRule type="cellIs" dxfId="43" priority="33" operator="equal">
      <formula>#REF!</formula>
    </cfRule>
    <cfRule type="cellIs" dxfId="42" priority="34" operator="equal">
      <formula>#REF!</formula>
    </cfRule>
    <cfRule type="cellIs" dxfId="41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K5 H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L6 H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37" t="s">
        <v>31</v>
      </c>
    </row>
    <row r="3" spans="8:8">
      <c r="H3" t="s">
        <v>32</v>
      </c>
    </row>
    <row r="4" spans="8:8">
      <c r="H4" t="s">
        <v>33</v>
      </c>
    </row>
    <row r="5" spans="8:8">
      <c r="H5" t="s">
        <v>34</v>
      </c>
    </row>
    <row r="6" spans="8:8">
      <c r="H6" t="s">
        <v>35</v>
      </c>
    </row>
    <row r="7" spans="8:8">
      <c r="H7" t="s"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2016-08-18T19:51:37Z</dcterms:modified>
</cp:coreProperties>
</file>